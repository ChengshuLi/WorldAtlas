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ills/Downloads/"/>
    </mc:Choice>
  </mc:AlternateContent>
  <xr:revisionPtr revIDLastSave="0" documentId="13_ncr:1_{4A2D20F8-9F04-EC4D-8037-0408B7DC9A70}" xr6:coauthVersionLast="47" xr6:coauthVersionMax="47" xr10:uidLastSave="{00000000-0000-0000-0000-000000000000}"/>
  <bookViews>
    <workbookView xWindow="960" yWindow="500" windowWidth="25920" windowHeight="15720" xr2:uid="{00000000-000D-0000-FFFF-FFFF00000000}"/>
  </bookViews>
  <sheets>
    <sheet name="eci_admgz_adm0" sheetId="4" r:id="rId1"/>
    <sheet name="eci_admgz_adm1" sheetId="2" r:id="rId2"/>
    <sheet name="ecu_admgz_adm2" sheetId="3" r:id="rId3"/>
    <sheet name="ecu_admgz_adm3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G3" i="1"/>
  <c r="H3" i="1"/>
  <c r="I3" i="1" s="1"/>
  <c r="E4" i="1"/>
  <c r="G4" i="1" s="1"/>
  <c r="E5" i="1"/>
  <c r="G5" i="1"/>
  <c r="H5" i="1"/>
  <c r="I5" i="1" s="1"/>
  <c r="E6" i="1"/>
  <c r="G6" i="1" s="1"/>
  <c r="H6" i="1"/>
  <c r="I6" i="1"/>
  <c r="E7" i="1"/>
  <c r="G7" i="1"/>
  <c r="H7" i="1"/>
  <c r="I7" i="1" s="1"/>
  <c r="E8" i="1"/>
  <c r="G8" i="1" s="1"/>
  <c r="H8" i="1"/>
  <c r="I8" i="1" s="1"/>
  <c r="E9" i="1"/>
  <c r="G9" i="1" s="1"/>
  <c r="H9" i="1" s="1"/>
  <c r="I9" i="1"/>
  <c r="E10" i="1"/>
  <c r="G10" i="1" s="1"/>
  <c r="E11" i="1"/>
  <c r="G11" i="1"/>
  <c r="H11" i="1" s="1"/>
  <c r="I11" i="1" s="1"/>
  <c r="E12" i="1"/>
  <c r="G12" i="1"/>
  <c r="H12" i="1" s="1"/>
  <c r="I12" i="1" s="1"/>
  <c r="E13" i="1"/>
  <c r="G13" i="1" s="1"/>
  <c r="H13" i="1"/>
  <c r="I13" i="1" s="1"/>
  <c r="E14" i="1"/>
  <c r="G14" i="1" s="1"/>
  <c r="E15" i="1"/>
  <c r="G15" i="1" s="1"/>
  <c r="H15" i="1"/>
  <c r="I15" i="1" s="1"/>
  <c r="E16" i="1"/>
  <c r="G16" i="1"/>
  <c r="H16" i="1" s="1"/>
  <c r="I16" i="1"/>
  <c r="E17" i="1"/>
  <c r="G17" i="1" s="1"/>
  <c r="E18" i="1"/>
  <c r="G18" i="1" s="1"/>
  <c r="E19" i="1"/>
  <c r="G19" i="1"/>
  <c r="H19" i="1"/>
  <c r="I19" i="1" s="1"/>
  <c r="E20" i="1"/>
  <c r="G20" i="1"/>
  <c r="H20" i="1" s="1"/>
  <c r="I20" i="1" s="1"/>
  <c r="E21" i="1"/>
  <c r="G21" i="1" s="1"/>
  <c r="H21" i="1"/>
  <c r="I21" i="1" s="1"/>
  <c r="E22" i="1"/>
  <c r="G22" i="1" s="1"/>
  <c r="H22" i="1"/>
  <c r="I22" i="1"/>
  <c r="E23" i="1"/>
  <c r="G23" i="1"/>
  <c r="H23" i="1"/>
  <c r="I23" i="1" s="1"/>
  <c r="E24" i="1"/>
  <c r="G24" i="1" s="1"/>
  <c r="H24" i="1" s="1"/>
  <c r="I24" i="1"/>
  <c r="E25" i="1"/>
  <c r="G25" i="1" s="1"/>
  <c r="E26" i="1"/>
  <c r="G26" i="1"/>
  <c r="E27" i="1"/>
  <c r="G27" i="1" s="1"/>
  <c r="H27" i="1" s="1"/>
  <c r="I27" i="1" s="1"/>
  <c r="E28" i="1"/>
  <c r="G28" i="1"/>
  <c r="E29" i="1"/>
  <c r="G29" i="1" s="1"/>
  <c r="H29" i="1"/>
  <c r="I29" i="1" s="1"/>
  <c r="E30" i="1"/>
  <c r="G30" i="1"/>
  <c r="E31" i="1"/>
  <c r="G31" i="1"/>
  <c r="H31" i="1"/>
  <c r="I31" i="1" s="1"/>
  <c r="E32" i="1"/>
  <c r="G32" i="1"/>
  <c r="E33" i="1"/>
  <c r="G33" i="1" s="1"/>
  <c r="E34" i="1"/>
  <c r="G34" i="1"/>
  <c r="E35" i="1"/>
  <c r="G35" i="1"/>
  <c r="E36" i="1"/>
  <c r="G36" i="1"/>
  <c r="H36" i="1" s="1"/>
  <c r="I36" i="1" s="1"/>
  <c r="E37" i="1"/>
  <c r="G37" i="1"/>
  <c r="E38" i="1"/>
  <c r="G38" i="1" s="1"/>
  <c r="H38" i="1"/>
  <c r="I38" i="1" s="1"/>
  <c r="E39" i="1"/>
  <c r="G39" i="1"/>
  <c r="E40" i="1"/>
  <c r="G40" i="1" s="1"/>
  <c r="E41" i="1"/>
  <c r="G41" i="1" s="1"/>
  <c r="H41" i="1" s="1"/>
  <c r="I41" i="1" s="1"/>
  <c r="E42" i="1"/>
  <c r="G42" i="1" s="1"/>
  <c r="E43" i="1"/>
  <c r="G43" i="1" s="1"/>
  <c r="H43" i="1"/>
  <c r="I43" i="1" s="1"/>
  <c r="E44" i="1"/>
  <c r="G44" i="1" s="1"/>
  <c r="H44" i="1" s="1"/>
  <c r="I44" i="1" s="1"/>
  <c r="E45" i="1"/>
  <c r="G45" i="1" s="1"/>
  <c r="H45" i="1"/>
  <c r="I45" i="1" s="1"/>
  <c r="E46" i="1"/>
  <c r="G46" i="1" s="1"/>
  <c r="H46" i="1" s="1"/>
  <c r="I46" i="1" s="1"/>
  <c r="E47" i="1"/>
  <c r="G47" i="1"/>
  <c r="H47" i="1" s="1"/>
  <c r="I47" i="1" s="1"/>
  <c r="E48" i="1"/>
  <c r="G48" i="1"/>
  <c r="H48" i="1" s="1"/>
  <c r="I48" i="1"/>
  <c r="E49" i="1"/>
  <c r="G49" i="1" s="1"/>
  <c r="H49" i="1" s="1"/>
  <c r="I49" i="1" s="1"/>
  <c r="E50" i="1"/>
  <c r="G50" i="1"/>
  <c r="H50" i="1" s="1"/>
  <c r="I50" i="1" s="1"/>
  <c r="E51" i="1"/>
  <c r="G51" i="1"/>
  <c r="E52" i="1"/>
  <c r="G52" i="1" s="1"/>
  <c r="H52" i="1"/>
  <c r="I52" i="1" s="1"/>
  <c r="E53" i="1"/>
  <c r="G53" i="1"/>
  <c r="H53" i="1" s="1"/>
  <c r="I53" i="1"/>
  <c r="E54" i="1"/>
  <c r="G54" i="1" s="1"/>
  <c r="H54" i="1"/>
  <c r="I54" i="1"/>
  <c r="E55" i="1"/>
  <c r="G55" i="1"/>
  <c r="H55" i="1"/>
  <c r="I55" i="1" s="1"/>
  <c r="E56" i="1"/>
  <c r="G56" i="1"/>
  <c r="H56" i="1" s="1"/>
  <c r="I56" i="1" s="1"/>
  <c r="E57" i="1"/>
  <c r="G57" i="1" s="1"/>
  <c r="H57" i="1" s="1"/>
  <c r="I57" i="1"/>
  <c r="E58" i="1"/>
  <c r="G58" i="1" s="1"/>
  <c r="H58" i="1"/>
  <c r="I58" i="1"/>
  <c r="E59" i="1"/>
  <c r="G59" i="1" s="1"/>
  <c r="E60" i="1"/>
  <c r="G60" i="1" s="1"/>
  <c r="H60" i="1" s="1"/>
  <c r="I60" i="1" s="1"/>
  <c r="E61" i="1"/>
  <c r="G61" i="1" s="1"/>
  <c r="H61" i="1"/>
  <c r="I61" i="1" s="1"/>
  <c r="E62" i="1"/>
  <c r="G62" i="1" s="1"/>
  <c r="E63" i="1"/>
  <c r="G63" i="1" s="1"/>
  <c r="E64" i="1"/>
  <c r="G64" i="1"/>
  <c r="H64" i="1" s="1"/>
  <c r="I64" i="1"/>
  <c r="E65" i="1"/>
  <c r="G65" i="1" s="1"/>
  <c r="E66" i="1"/>
  <c r="G66" i="1"/>
  <c r="E67" i="1"/>
  <c r="G67" i="1"/>
  <c r="H67" i="1"/>
  <c r="I67" i="1" s="1"/>
  <c r="E68" i="1"/>
  <c r="G68" i="1"/>
  <c r="H68" i="1"/>
  <c r="I68" i="1" s="1"/>
  <c r="E69" i="1"/>
  <c r="G69" i="1"/>
  <c r="E70" i="1"/>
  <c r="G70" i="1" s="1"/>
  <c r="E71" i="1"/>
  <c r="G71" i="1"/>
  <c r="E72" i="1"/>
  <c r="G72" i="1" s="1"/>
  <c r="H72" i="1"/>
  <c r="I72" i="1" s="1"/>
  <c r="E73" i="1"/>
  <c r="G73" i="1" s="1"/>
  <c r="H73" i="1" s="1"/>
  <c r="I73" i="1"/>
  <c r="E74" i="1"/>
  <c r="G74" i="1"/>
  <c r="H74" i="1"/>
  <c r="I74" i="1" s="1"/>
  <c r="E75" i="1"/>
  <c r="G75" i="1"/>
  <c r="H75" i="1" s="1"/>
  <c r="I75" i="1" s="1"/>
  <c r="E76" i="1"/>
  <c r="G76" i="1" s="1"/>
  <c r="H76" i="1" s="1"/>
  <c r="I76" i="1" s="1"/>
  <c r="E77" i="1"/>
  <c r="G77" i="1" s="1"/>
  <c r="H77" i="1"/>
  <c r="I77" i="1" s="1"/>
  <c r="E78" i="1"/>
  <c r="G78" i="1" s="1"/>
  <c r="E79" i="1"/>
  <c r="G79" i="1" s="1"/>
  <c r="E80" i="1"/>
  <c r="G80" i="1"/>
  <c r="H80" i="1" s="1"/>
  <c r="I80" i="1"/>
  <c r="E81" i="1"/>
  <c r="G81" i="1" s="1"/>
  <c r="H81" i="1"/>
  <c r="I81" i="1"/>
  <c r="E82" i="1"/>
  <c r="G82" i="1" s="1"/>
  <c r="H82" i="1"/>
  <c r="I82" i="1"/>
  <c r="E83" i="1"/>
  <c r="G83" i="1"/>
  <c r="H83" i="1"/>
  <c r="I83" i="1" s="1"/>
  <c r="E84" i="1"/>
  <c r="G84" i="1" s="1"/>
  <c r="E85" i="1"/>
  <c r="G85" i="1" s="1"/>
  <c r="H85" i="1"/>
  <c r="I85" i="1" s="1"/>
  <c r="E86" i="1"/>
  <c r="G86" i="1" s="1"/>
  <c r="H86" i="1"/>
  <c r="I86" i="1"/>
  <c r="E87" i="1"/>
  <c r="G87" i="1"/>
  <c r="E88" i="1"/>
  <c r="G88" i="1"/>
  <c r="E89" i="1"/>
  <c r="G89" i="1" s="1"/>
  <c r="H89" i="1" s="1"/>
  <c r="I89" i="1" s="1"/>
  <c r="E90" i="1"/>
  <c r="G90" i="1"/>
  <c r="E91" i="1"/>
  <c r="G91" i="1"/>
  <c r="H91" i="1" s="1"/>
  <c r="I91" i="1"/>
  <c r="E92" i="1"/>
  <c r="G92" i="1" s="1"/>
  <c r="H92" i="1" s="1"/>
  <c r="I92" i="1" s="1"/>
  <c r="E93" i="1"/>
  <c r="G93" i="1" s="1"/>
  <c r="H93" i="1"/>
  <c r="I93" i="1" s="1"/>
  <c r="E94" i="1"/>
  <c r="G94" i="1"/>
  <c r="E95" i="1"/>
  <c r="G95" i="1"/>
  <c r="H95" i="1"/>
  <c r="I95" i="1" s="1"/>
  <c r="E96" i="1"/>
  <c r="G96" i="1"/>
  <c r="E97" i="1"/>
  <c r="G97" i="1" s="1"/>
  <c r="H97" i="1" s="1"/>
  <c r="I97" i="1"/>
  <c r="E98" i="1"/>
  <c r="G98" i="1" s="1"/>
  <c r="E99" i="1"/>
  <c r="G99" i="1"/>
  <c r="H99" i="1"/>
  <c r="I99" i="1" s="1"/>
  <c r="E100" i="1"/>
  <c r="G100" i="1" s="1"/>
  <c r="H100" i="1"/>
  <c r="I100" i="1"/>
  <c r="E101" i="1"/>
  <c r="G101" i="1"/>
  <c r="H101" i="1"/>
  <c r="I101" i="1" s="1"/>
  <c r="E102" i="1"/>
  <c r="G102" i="1" s="1"/>
  <c r="H102" i="1"/>
  <c r="I102" i="1" s="1"/>
  <c r="E103" i="1"/>
  <c r="G103" i="1"/>
  <c r="H103" i="1" s="1"/>
  <c r="I103" i="1" s="1"/>
  <c r="E104" i="1"/>
  <c r="G104" i="1"/>
  <c r="H104" i="1" s="1"/>
  <c r="I104" i="1" s="1"/>
  <c r="E105" i="1"/>
  <c r="G105" i="1" s="1"/>
  <c r="H105" i="1" s="1"/>
  <c r="I105" i="1" s="1"/>
  <c r="E106" i="1"/>
  <c r="G106" i="1"/>
  <c r="E107" i="1"/>
  <c r="G107" i="1" s="1"/>
  <c r="H107" i="1"/>
  <c r="I107" i="1" s="1"/>
  <c r="E108" i="1"/>
  <c r="G108" i="1" s="1"/>
  <c r="H108" i="1" s="1"/>
  <c r="I108" i="1" s="1"/>
  <c r="E109" i="1"/>
  <c r="G109" i="1" s="1"/>
  <c r="H109" i="1"/>
  <c r="I109" i="1" s="1"/>
  <c r="E110" i="1"/>
  <c r="G110" i="1" s="1"/>
  <c r="H110" i="1" s="1"/>
  <c r="I110" i="1"/>
  <c r="E111" i="1"/>
  <c r="G111" i="1" s="1"/>
  <c r="E112" i="1"/>
  <c r="G112" i="1"/>
  <c r="H112" i="1" s="1"/>
  <c r="I112" i="1"/>
  <c r="E113" i="1"/>
  <c r="G113" i="1" s="1"/>
  <c r="H113" i="1" s="1"/>
  <c r="I113" i="1" s="1"/>
  <c r="E114" i="1"/>
  <c r="G114" i="1" s="1"/>
  <c r="E115" i="1"/>
  <c r="G115" i="1"/>
  <c r="H115" i="1"/>
  <c r="I115" i="1" s="1"/>
  <c r="E116" i="1"/>
  <c r="G116" i="1" s="1"/>
  <c r="E117" i="1"/>
  <c r="G117" i="1"/>
  <c r="E118" i="1"/>
  <c r="G118" i="1" s="1"/>
  <c r="E119" i="1"/>
  <c r="G119" i="1"/>
  <c r="H119" i="1" s="1"/>
  <c r="I119" i="1" s="1"/>
  <c r="E120" i="1"/>
  <c r="G120" i="1"/>
  <c r="H120" i="1" s="1"/>
  <c r="I120" i="1" s="1"/>
  <c r="E121" i="1"/>
  <c r="G121" i="1" s="1"/>
  <c r="H121" i="1" s="1"/>
  <c r="I121" i="1"/>
  <c r="E122" i="1"/>
  <c r="G122" i="1"/>
  <c r="H122" i="1"/>
  <c r="I122" i="1" s="1"/>
  <c r="E123" i="1"/>
  <c r="G123" i="1" s="1"/>
  <c r="H123" i="1" s="1"/>
  <c r="I123" i="1" s="1"/>
  <c r="E124" i="1"/>
  <c r="G124" i="1" s="1"/>
  <c r="E125" i="1"/>
  <c r="G125" i="1" s="1"/>
  <c r="H125" i="1"/>
  <c r="I125" i="1" s="1"/>
  <c r="E126" i="1"/>
  <c r="G126" i="1" s="1"/>
  <c r="E127" i="1"/>
  <c r="G127" i="1" s="1"/>
  <c r="H127" i="1"/>
  <c r="I127" i="1" s="1"/>
  <c r="E128" i="1"/>
  <c r="G128" i="1"/>
  <c r="H128" i="1" s="1"/>
  <c r="I128" i="1"/>
  <c r="E129" i="1"/>
  <c r="G129" i="1"/>
  <c r="H129" i="1" s="1"/>
  <c r="I129" i="1"/>
  <c r="E130" i="1"/>
  <c r="G130" i="1" s="1"/>
  <c r="E131" i="1"/>
  <c r="G131" i="1"/>
  <c r="E132" i="1"/>
  <c r="G132" i="1"/>
  <c r="E133" i="1"/>
  <c r="G133" i="1" s="1"/>
  <c r="H133" i="1"/>
  <c r="I133" i="1" s="1"/>
  <c r="E134" i="1"/>
  <c r="G134" i="1" s="1"/>
  <c r="H134" i="1"/>
  <c r="I134" i="1"/>
  <c r="E135" i="1"/>
  <c r="G135" i="1"/>
  <c r="H135" i="1" s="1"/>
  <c r="I135" i="1" s="1"/>
  <c r="E136" i="1"/>
  <c r="G136" i="1" s="1"/>
  <c r="H136" i="1" s="1"/>
  <c r="I136" i="1"/>
  <c r="E137" i="1"/>
  <c r="G137" i="1" s="1"/>
  <c r="E138" i="1"/>
  <c r="G138" i="1"/>
  <c r="E139" i="1"/>
  <c r="G139" i="1"/>
  <c r="E140" i="1"/>
  <c r="G140" i="1"/>
  <c r="H140" i="1" s="1"/>
  <c r="I140" i="1" s="1"/>
  <c r="E141" i="1"/>
  <c r="G141" i="1" s="1"/>
  <c r="H141" i="1"/>
  <c r="I141" i="1"/>
  <c r="E142" i="1"/>
  <c r="G142" i="1"/>
  <c r="H142" i="1" s="1"/>
  <c r="I142" i="1"/>
  <c r="E143" i="1"/>
  <c r="G143" i="1" s="1"/>
  <c r="E144" i="1"/>
  <c r="G144" i="1"/>
  <c r="H144" i="1" s="1"/>
  <c r="I144" i="1"/>
  <c r="E145" i="1"/>
  <c r="G145" i="1" s="1"/>
  <c r="H145" i="1"/>
  <c r="I145" i="1"/>
  <c r="E146" i="1"/>
  <c r="G146" i="1"/>
  <c r="E147" i="1"/>
  <c r="G147" i="1"/>
  <c r="E148" i="1"/>
  <c r="G148" i="1"/>
  <c r="E149" i="1"/>
  <c r="G149" i="1"/>
  <c r="E150" i="1"/>
  <c r="G150" i="1" s="1"/>
  <c r="H150" i="1"/>
  <c r="I150" i="1" s="1"/>
  <c r="E151" i="1"/>
  <c r="G151" i="1"/>
  <c r="H151" i="1"/>
  <c r="I151" i="1"/>
  <c r="E152" i="1"/>
  <c r="G152" i="1"/>
  <c r="H152" i="1"/>
  <c r="I152" i="1" s="1"/>
  <c r="E153" i="1"/>
  <c r="G153" i="1" s="1"/>
  <c r="H153" i="1" s="1"/>
  <c r="I153" i="1" s="1"/>
  <c r="E154" i="1"/>
  <c r="G154" i="1" s="1"/>
  <c r="E155" i="1"/>
  <c r="G155" i="1"/>
  <c r="H155" i="1"/>
  <c r="I155" i="1" s="1"/>
  <c r="E156" i="1"/>
  <c r="G156" i="1" s="1"/>
  <c r="E157" i="1"/>
  <c r="G157" i="1" s="1"/>
  <c r="H157" i="1" s="1"/>
  <c r="I157" i="1" s="1"/>
  <c r="E158" i="1"/>
  <c r="G158" i="1"/>
  <c r="H158" i="1" s="1"/>
  <c r="I158" i="1" s="1"/>
  <c r="E159" i="1"/>
  <c r="G159" i="1"/>
  <c r="H159" i="1" s="1"/>
  <c r="I159" i="1" s="1"/>
  <c r="E160" i="1"/>
  <c r="G160" i="1"/>
  <c r="H160" i="1" s="1"/>
  <c r="I160" i="1"/>
  <c r="E161" i="1"/>
  <c r="G161" i="1" s="1"/>
  <c r="E162" i="1"/>
  <c r="G162" i="1"/>
  <c r="H162" i="1"/>
  <c r="I162" i="1" s="1"/>
  <c r="E163" i="1"/>
  <c r="G163" i="1"/>
  <c r="H163" i="1"/>
  <c r="I163" i="1" s="1"/>
  <c r="E164" i="1"/>
  <c r="G164" i="1" s="1"/>
  <c r="H164" i="1" s="1"/>
  <c r="I164" i="1"/>
  <c r="E165" i="1"/>
  <c r="G165" i="1"/>
  <c r="H165" i="1" s="1"/>
  <c r="I165" i="1" s="1"/>
  <c r="E166" i="1"/>
  <c r="G166" i="1" s="1"/>
  <c r="H166" i="1"/>
  <c r="I166" i="1" s="1"/>
  <c r="E167" i="1"/>
  <c r="G167" i="1"/>
  <c r="H167" i="1" s="1"/>
  <c r="I167" i="1"/>
  <c r="E168" i="1"/>
  <c r="G168" i="1"/>
  <c r="E169" i="1"/>
  <c r="G169" i="1" s="1"/>
  <c r="H169" i="1" s="1"/>
  <c r="I169" i="1" s="1"/>
  <c r="E170" i="1"/>
  <c r="G170" i="1" s="1"/>
  <c r="E171" i="1"/>
  <c r="G171" i="1" s="1"/>
  <c r="E172" i="1"/>
  <c r="G172" i="1" s="1"/>
  <c r="H172" i="1" s="1"/>
  <c r="I172" i="1" s="1"/>
  <c r="E173" i="1"/>
  <c r="G173" i="1" s="1"/>
  <c r="H173" i="1"/>
  <c r="I173" i="1" s="1"/>
  <c r="E174" i="1"/>
  <c r="G174" i="1"/>
  <c r="H174" i="1" s="1"/>
  <c r="I174" i="1" s="1"/>
  <c r="E175" i="1"/>
  <c r="G175" i="1" s="1"/>
  <c r="H175" i="1" s="1"/>
  <c r="I175" i="1" s="1"/>
  <c r="E176" i="1"/>
  <c r="G176" i="1"/>
  <c r="H176" i="1" s="1"/>
  <c r="I176" i="1"/>
  <c r="E177" i="1"/>
  <c r="G177" i="1" s="1"/>
  <c r="H177" i="1"/>
  <c r="I177" i="1" s="1"/>
  <c r="E178" i="1"/>
  <c r="G178" i="1" s="1"/>
  <c r="H178" i="1" s="1"/>
  <c r="I178" i="1" s="1"/>
  <c r="E179" i="1"/>
  <c r="G179" i="1"/>
  <c r="H179" i="1"/>
  <c r="I179" i="1" s="1"/>
  <c r="E180" i="1"/>
  <c r="G180" i="1"/>
  <c r="E181" i="1"/>
  <c r="G181" i="1"/>
  <c r="H181" i="1"/>
  <c r="I181" i="1" s="1"/>
  <c r="E182" i="1"/>
  <c r="G182" i="1" s="1"/>
  <c r="E183" i="1"/>
  <c r="G183" i="1"/>
  <c r="H183" i="1"/>
  <c r="I183" i="1" s="1"/>
  <c r="E184" i="1"/>
  <c r="G184" i="1"/>
  <c r="H184" i="1" s="1"/>
  <c r="I184" i="1"/>
  <c r="E185" i="1"/>
  <c r="G185" i="1" s="1"/>
  <c r="E186" i="1"/>
  <c r="G186" i="1"/>
  <c r="H186" i="1"/>
  <c r="I186" i="1" s="1"/>
  <c r="E187" i="1"/>
  <c r="G187" i="1"/>
  <c r="E188" i="1"/>
  <c r="G188" i="1" s="1"/>
  <c r="H188" i="1" s="1"/>
  <c r="I188" i="1" s="1"/>
  <c r="E189" i="1"/>
  <c r="G189" i="1" s="1"/>
  <c r="H189" i="1"/>
  <c r="I189" i="1"/>
  <c r="E190" i="1"/>
  <c r="G190" i="1"/>
  <c r="H190" i="1" s="1"/>
  <c r="I190" i="1" s="1"/>
  <c r="E191" i="1"/>
  <c r="G191" i="1" s="1"/>
  <c r="H191" i="1"/>
  <c r="I191" i="1" s="1"/>
  <c r="E192" i="1"/>
  <c r="G192" i="1"/>
  <c r="H192" i="1" s="1"/>
  <c r="I192" i="1"/>
  <c r="E193" i="1"/>
  <c r="G193" i="1" s="1"/>
  <c r="E194" i="1"/>
  <c r="G194" i="1"/>
  <c r="H194" i="1" s="1"/>
  <c r="I194" i="1" s="1"/>
  <c r="E195" i="1"/>
  <c r="G195" i="1"/>
  <c r="H195" i="1"/>
  <c r="I195" i="1" s="1"/>
  <c r="E196" i="1"/>
  <c r="G196" i="1"/>
  <c r="E197" i="1"/>
  <c r="G197" i="1"/>
  <c r="H197" i="1" s="1"/>
  <c r="I197" i="1" s="1"/>
  <c r="E198" i="1"/>
  <c r="G198" i="1" s="1"/>
  <c r="E199" i="1"/>
  <c r="G199" i="1"/>
  <c r="H199" i="1"/>
  <c r="I199" i="1" s="1"/>
  <c r="E200" i="1"/>
  <c r="G200" i="1"/>
  <c r="H200" i="1"/>
  <c r="I200" i="1" s="1"/>
  <c r="E201" i="1"/>
  <c r="G201" i="1" s="1"/>
  <c r="H201" i="1" s="1"/>
  <c r="I201" i="1"/>
  <c r="E202" i="1"/>
  <c r="G202" i="1" s="1"/>
  <c r="E203" i="1"/>
  <c r="G203" i="1" s="1"/>
  <c r="E204" i="1"/>
  <c r="G204" i="1"/>
  <c r="E205" i="1"/>
  <c r="G205" i="1" s="1"/>
  <c r="H205" i="1" s="1"/>
  <c r="I205" i="1"/>
  <c r="E206" i="1"/>
  <c r="G206" i="1" s="1"/>
  <c r="H206" i="1" s="1"/>
  <c r="I206" i="1" s="1"/>
  <c r="E207" i="1"/>
  <c r="G207" i="1" s="1"/>
  <c r="H207" i="1" s="1"/>
  <c r="I207" i="1" s="1"/>
  <c r="E208" i="1"/>
  <c r="G208" i="1"/>
  <c r="H208" i="1" s="1"/>
  <c r="I208" i="1" s="1"/>
  <c r="E209" i="1"/>
  <c r="G209" i="1" s="1"/>
  <c r="E210" i="1"/>
  <c r="G210" i="1"/>
  <c r="H210" i="1"/>
  <c r="I210" i="1"/>
  <c r="E211" i="1"/>
  <c r="G211" i="1"/>
  <c r="E212" i="1"/>
  <c r="G212" i="1"/>
  <c r="H212" i="1" s="1"/>
  <c r="I212" i="1"/>
  <c r="E213" i="1"/>
  <c r="G213" i="1" s="1"/>
  <c r="H213" i="1" s="1"/>
  <c r="I213" i="1" s="1"/>
  <c r="E214" i="1"/>
  <c r="G214" i="1" s="1"/>
  <c r="H214" i="1"/>
  <c r="I214" i="1" s="1"/>
  <c r="E215" i="1"/>
  <c r="G215" i="1"/>
  <c r="H215" i="1" s="1"/>
  <c r="I215" i="1" s="1"/>
  <c r="E216" i="1"/>
  <c r="G216" i="1" s="1"/>
  <c r="H216" i="1"/>
  <c r="I216" i="1"/>
  <c r="E217" i="1"/>
  <c r="G217" i="1" s="1"/>
  <c r="E218" i="1"/>
  <c r="G218" i="1"/>
  <c r="E219" i="1"/>
  <c r="G219" i="1"/>
  <c r="H219" i="1" s="1"/>
  <c r="I219" i="1" s="1"/>
  <c r="E220" i="1"/>
  <c r="G220" i="1"/>
  <c r="H220" i="1" s="1"/>
  <c r="I220" i="1" s="1"/>
  <c r="E221" i="1"/>
  <c r="G221" i="1" s="1"/>
  <c r="H221" i="1"/>
  <c r="I221" i="1" s="1"/>
  <c r="E222" i="1"/>
  <c r="G222" i="1"/>
  <c r="H222" i="1" s="1"/>
  <c r="I222" i="1"/>
  <c r="E223" i="1"/>
  <c r="G223" i="1" s="1"/>
  <c r="E224" i="1"/>
  <c r="G224" i="1"/>
  <c r="H224" i="1" s="1"/>
  <c r="I224" i="1"/>
  <c r="E225" i="1"/>
  <c r="G225" i="1" s="1"/>
  <c r="H225" i="1"/>
  <c r="I225" i="1"/>
  <c r="E226" i="1"/>
  <c r="G226" i="1"/>
  <c r="H226" i="1"/>
  <c r="I226" i="1" s="1"/>
  <c r="E227" i="1"/>
  <c r="G227" i="1"/>
  <c r="H227" i="1"/>
  <c r="I227" i="1" s="1"/>
  <c r="E228" i="1"/>
  <c r="G228" i="1" s="1"/>
  <c r="H228" i="1" s="1"/>
  <c r="I228" i="1"/>
  <c r="E229" i="1"/>
  <c r="G229" i="1"/>
  <c r="H229" i="1"/>
  <c r="I229" i="1" s="1"/>
  <c r="E230" i="1"/>
  <c r="G230" i="1" s="1"/>
  <c r="H230" i="1"/>
  <c r="I230" i="1"/>
  <c r="E231" i="1"/>
  <c r="G231" i="1"/>
  <c r="H231" i="1" s="1"/>
  <c r="I231" i="1" s="1"/>
  <c r="E232" i="1"/>
  <c r="G232" i="1" s="1"/>
  <c r="E233" i="1"/>
  <c r="G233" i="1" s="1"/>
  <c r="E234" i="1"/>
  <c r="G234" i="1"/>
  <c r="H234" i="1"/>
  <c r="I234" i="1" s="1"/>
  <c r="E235" i="1"/>
  <c r="G235" i="1" s="1"/>
  <c r="E236" i="1"/>
  <c r="G236" i="1" s="1"/>
  <c r="H236" i="1" s="1"/>
  <c r="I236" i="1" s="1"/>
  <c r="E237" i="1"/>
  <c r="G237" i="1" s="1"/>
  <c r="H237" i="1"/>
  <c r="I237" i="1" s="1"/>
  <c r="E238" i="1"/>
  <c r="G238" i="1" s="1"/>
  <c r="E239" i="1"/>
  <c r="G239" i="1" s="1"/>
  <c r="E240" i="1"/>
  <c r="G240" i="1"/>
  <c r="H240" i="1" s="1"/>
  <c r="I240" i="1"/>
  <c r="E241" i="1"/>
  <c r="G241" i="1" s="1"/>
  <c r="H241" i="1"/>
  <c r="I241" i="1"/>
  <c r="E242" i="1"/>
  <c r="G242" i="1"/>
  <c r="H242" i="1"/>
  <c r="I242" i="1"/>
  <c r="E243" i="1"/>
  <c r="G243" i="1"/>
  <c r="E244" i="1"/>
  <c r="G244" i="1"/>
  <c r="H244" i="1"/>
  <c r="I244" i="1" s="1"/>
  <c r="E245" i="1"/>
  <c r="G245" i="1"/>
  <c r="H245" i="1"/>
  <c r="I245" i="1" s="1"/>
  <c r="E246" i="1"/>
  <c r="G246" i="1" s="1"/>
  <c r="H246" i="1"/>
  <c r="I246" i="1" s="1"/>
  <c r="E247" i="1"/>
  <c r="G247" i="1"/>
  <c r="H247" i="1" s="1"/>
  <c r="I247" i="1" s="1"/>
  <c r="E248" i="1"/>
  <c r="G248" i="1" s="1"/>
  <c r="E249" i="1"/>
  <c r="G249" i="1" s="1"/>
  <c r="H249" i="1"/>
  <c r="I249" i="1" s="1"/>
  <c r="E250" i="1"/>
  <c r="G250" i="1"/>
  <c r="H250" i="1"/>
  <c r="I250" i="1" s="1"/>
  <c r="E251" i="1"/>
  <c r="G251" i="1" s="1"/>
  <c r="H251" i="1"/>
  <c r="I251" i="1" s="1"/>
  <c r="E252" i="1"/>
  <c r="G252" i="1"/>
  <c r="E253" i="1"/>
  <c r="G253" i="1" s="1"/>
  <c r="E254" i="1"/>
  <c r="G254" i="1" s="1"/>
  <c r="E255" i="1"/>
  <c r="G255" i="1"/>
  <c r="H255" i="1"/>
  <c r="I255" i="1" s="1"/>
  <c r="E256" i="1"/>
  <c r="G256" i="1"/>
  <c r="H256" i="1" s="1"/>
  <c r="I256" i="1"/>
  <c r="E257" i="1"/>
  <c r="G257" i="1"/>
  <c r="H257" i="1"/>
  <c r="I257" i="1" s="1"/>
  <c r="E258" i="1"/>
  <c r="G258" i="1" s="1"/>
  <c r="E259" i="1"/>
  <c r="G259" i="1"/>
  <c r="H259" i="1"/>
  <c r="I259" i="1" s="1"/>
  <c r="E260" i="1"/>
  <c r="G260" i="1"/>
  <c r="E261" i="1"/>
  <c r="G261" i="1" s="1"/>
  <c r="H261" i="1"/>
  <c r="I261" i="1"/>
  <c r="E262" i="1"/>
  <c r="G262" i="1"/>
  <c r="E263" i="1"/>
  <c r="G263" i="1"/>
  <c r="H263" i="1" s="1"/>
  <c r="I263" i="1" s="1"/>
  <c r="E264" i="1"/>
  <c r="G264" i="1"/>
  <c r="E265" i="1"/>
  <c r="G265" i="1" s="1"/>
  <c r="H265" i="1" s="1"/>
  <c r="I265" i="1"/>
  <c r="E266" i="1"/>
  <c r="G266" i="1"/>
  <c r="E267" i="1"/>
  <c r="G267" i="1" s="1"/>
  <c r="E268" i="1"/>
  <c r="G268" i="1"/>
  <c r="E269" i="1"/>
  <c r="G269" i="1" s="1"/>
  <c r="H269" i="1"/>
  <c r="I269" i="1" s="1"/>
  <c r="E270" i="1"/>
  <c r="G270" i="1"/>
  <c r="H270" i="1"/>
  <c r="I270" i="1" s="1"/>
  <c r="E271" i="1"/>
  <c r="G271" i="1"/>
  <c r="H271" i="1"/>
  <c r="I271" i="1" s="1"/>
  <c r="E272" i="1"/>
  <c r="G272" i="1" s="1"/>
  <c r="E273" i="1"/>
  <c r="G273" i="1"/>
  <c r="H273" i="1"/>
  <c r="I273" i="1" s="1"/>
  <c r="E274" i="1"/>
  <c r="G274" i="1" s="1"/>
  <c r="H274" i="1"/>
  <c r="I274" i="1" s="1"/>
  <c r="E275" i="1"/>
  <c r="G275" i="1"/>
  <c r="H275" i="1"/>
  <c r="I275" i="1" s="1"/>
  <c r="E276" i="1"/>
  <c r="G276" i="1" s="1"/>
  <c r="H276" i="1"/>
  <c r="I276" i="1" s="1"/>
  <c r="E277" i="1"/>
  <c r="G277" i="1"/>
  <c r="H277" i="1"/>
  <c r="I277" i="1"/>
  <c r="E278" i="1"/>
  <c r="G278" i="1" s="1"/>
  <c r="H278" i="1"/>
  <c r="I278" i="1"/>
  <c r="E279" i="1"/>
  <c r="G279" i="1"/>
  <c r="H279" i="1" s="1"/>
  <c r="I279" i="1" s="1"/>
  <c r="E280" i="1"/>
  <c r="G280" i="1"/>
  <c r="E281" i="1"/>
  <c r="G281" i="1" s="1"/>
  <c r="H281" i="1"/>
  <c r="I281" i="1"/>
  <c r="E282" i="1"/>
  <c r="G282" i="1" s="1"/>
  <c r="E283" i="1"/>
  <c r="G283" i="1" s="1"/>
  <c r="H283" i="1"/>
  <c r="I283" i="1"/>
  <c r="E284" i="1"/>
  <c r="G284" i="1"/>
  <c r="E285" i="1"/>
  <c r="G285" i="1" s="1"/>
  <c r="E286" i="1"/>
  <c r="G286" i="1"/>
  <c r="H286" i="1"/>
  <c r="I286" i="1" s="1"/>
  <c r="E287" i="1"/>
  <c r="G287" i="1"/>
  <c r="H287" i="1"/>
  <c r="I287" i="1" s="1"/>
  <c r="E288" i="1"/>
  <c r="G288" i="1"/>
  <c r="E289" i="1"/>
  <c r="G289" i="1"/>
  <c r="H289" i="1"/>
  <c r="I289" i="1" s="1"/>
  <c r="E290" i="1"/>
  <c r="G290" i="1"/>
  <c r="H290" i="1" s="1"/>
  <c r="I290" i="1" s="1"/>
  <c r="E291" i="1"/>
  <c r="G291" i="1"/>
  <c r="H291" i="1"/>
  <c r="I291" i="1" s="1"/>
  <c r="E292" i="1"/>
  <c r="G292" i="1"/>
  <c r="H292" i="1" s="1"/>
  <c r="I292" i="1" s="1"/>
  <c r="E293" i="1"/>
  <c r="G293" i="1" s="1"/>
  <c r="H293" i="1" s="1"/>
  <c r="I293" i="1" s="1"/>
  <c r="E294" i="1"/>
  <c r="G294" i="1"/>
  <c r="E295" i="1"/>
  <c r="G295" i="1"/>
  <c r="H295" i="1"/>
  <c r="I295" i="1"/>
  <c r="E296" i="1"/>
  <c r="G296" i="1"/>
  <c r="H296" i="1"/>
  <c r="I296" i="1"/>
  <c r="E297" i="1"/>
  <c r="G297" i="1" s="1"/>
  <c r="E298" i="1"/>
  <c r="G298" i="1"/>
  <c r="E299" i="1"/>
  <c r="G299" i="1" s="1"/>
  <c r="H299" i="1"/>
  <c r="I299" i="1"/>
  <c r="E300" i="1"/>
  <c r="G300" i="1"/>
  <c r="H300" i="1" s="1"/>
  <c r="I300" i="1" s="1"/>
  <c r="E301" i="1"/>
  <c r="G301" i="1" s="1"/>
  <c r="H301" i="1"/>
  <c r="I301" i="1" s="1"/>
  <c r="E302" i="1"/>
  <c r="G302" i="1" s="1"/>
  <c r="E303" i="1"/>
  <c r="G303" i="1" s="1"/>
  <c r="E304" i="1"/>
  <c r="G304" i="1"/>
  <c r="E305" i="1"/>
  <c r="G305" i="1"/>
  <c r="H305" i="1"/>
  <c r="I305" i="1" s="1"/>
  <c r="E306" i="1"/>
  <c r="G306" i="1" s="1"/>
  <c r="E307" i="1"/>
  <c r="G307" i="1"/>
  <c r="E308" i="1"/>
  <c r="G308" i="1" s="1"/>
  <c r="H308" i="1"/>
  <c r="I308" i="1"/>
  <c r="E309" i="1"/>
  <c r="G309" i="1" s="1"/>
  <c r="E310" i="1"/>
  <c r="G310" i="1"/>
  <c r="E311" i="1"/>
  <c r="G311" i="1"/>
  <c r="H311" i="1"/>
  <c r="I311" i="1" s="1"/>
  <c r="E312" i="1"/>
  <c r="G312" i="1"/>
  <c r="E313" i="1"/>
  <c r="G313" i="1" s="1"/>
  <c r="H313" i="1"/>
  <c r="I313" i="1" s="1"/>
  <c r="E314" i="1"/>
  <c r="G314" i="1"/>
  <c r="E315" i="1"/>
  <c r="G315" i="1" s="1"/>
  <c r="H315" i="1"/>
  <c r="I315" i="1"/>
  <c r="E316" i="1"/>
  <c r="G316" i="1"/>
  <c r="E317" i="1"/>
  <c r="G317" i="1" s="1"/>
  <c r="H317" i="1"/>
  <c r="I317" i="1"/>
  <c r="E318" i="1"/>
  <c r="G318" i="1"/>
  <c r="H318" i="1"/>
  <c r="I318" i="1" s="1"/>
  <c r="E319" i="1"/>
  <c r="G319" i="1"/>
  <c r="H319" i="1"/>
  <c r="I319" i="1" s="1"/>
  <c r="E320" i="1"/>
  <c r="G320" i="1"/>
  <c r="H320" i="1" s="1"/>
  <c r="I320" i="1"/>
  <c r="E321" i="1"/>
  <c r="G321" i="1"/>
  <c r="E322" i="1"/>
  <c r="G322" i="1"/>
  <c r="H322" i="1" s="1"/>
  <c r="I322" i="1" s="1"/>
  <c r="E323" i="1"/>
  <c r="G323" i="1"/>
  <c r="H323" i="1"/>
  <c r="I323" i="1" s="1"/>
  <c r="E324" i="1"/>
  <c r="G324" i="1" s="1"/>
  <c r="E325" i="1"/>
  <c r="G325" i="1"/>
  <c r="H325" i="1"/>
  <c r="I325" i="1" s="1"/>
  <c r="E326" i="1"/>
  <c r="G326" i="1"/>
  <c r="H326" i="1"/>
  <c r="I326" i="1"/>
  <c r="E327" i="1"/>
  <c r="G327" i="1"/>
  <c r="H327" i="1"/>
  <c r="I327" i="1"/>
  <c r="E328" i="1"/>
  <c r="G328" i="1"/>
  <c r="H328" i="1"/>
  <c r="I328" i="1" s="1"/>
  <c r="E329" i="1"/>
  <c r="G329" i="1" s="1"/>
  <c r="H329" i="1" s="1"/>
  <c r="I329" i="1" s="1"/>
  <c r="E330" i="1"/>
  <c r="G330" i="1"/>
  <c r="E331" i="1"/>
  <c r="G331" i="1" s="1"/>
  <c r="E332" i="1"/>
  <c r="G332" i="1"/>
  <c r="E333" i="1"/>
  <c r="G333" i="1" s="1"/>
  <c r="E334" i="1"/>
  <c r="G334" i="1" s="1"/>
  <c r="E335" i="1"/>
  <c r="G335" i="1"/>
  <c r="E336" i="1"/>
  <c r="G336" i="1" s="1"/>
  <c r="E337" i="1"/>
  <c r="G337" i="1"/>
  <c r="E338" i="1"/>
  <c r="G338" i="1" s="1"/>
  <c r="H338" i="1"/>
  <c r="I338" i="1"/>
  <c r="E339" i="1"/>
  <c r="G339" i="1"/>
  <c r="H339" i="1"/>
  <c r="I339" i="1" s="1"/>
  <c r="E340" i="1"/>
  <c r="G340" i="1" s="1"/>
  <c r="H340" i="1" s="1"/>
  <c r="I340" i="1" s="1"/>
  <c r="E341" i="1"/>
  <c r="G341" i="1" s="1"/>
  <c r="E342" i="1"/>
  <c r="G342" i="1"/>
  <c r="H342" i="1"/>
  <c r="I342" i="1" s="1"/>
  <c r="E343" i="1"/>
  <c r="G343" i="1"/>
  <c r="E344" i="1"/>
  <c r="G344" i="1" s="1"/>
  <c r="H344" i="1" s="1"/>
  <c r="I344" i="1" s="1"/>
  <c r="E345" i="1"/>
  <c r="G345" i="1" s="1"/>
  <c r="H345" i="1"/>
  <c r="I345" i="1" s="1"/>
  <c r="E346" i="1"/>
  <c r="G346" i="1"/>
  <c r="H346" i="1" s="1"/>
  <c r="I346" i="1"/>
  <c r="E347" i="1"/>
  <c r="G347" i="1"/>
  <c r="H347" i="1" s="1"/>
  <c r="I347" i="1" s="1"/>
  <c r="E348" i="1"/>
  <c r="G348" i="1" s="1"/>
  <c r="H348" i="1" s="1"/>
  <c r="I348" i="1"/>
  <c r="E349" i="1"/>
  <c r="G349" i="1" s="1"/>
  <c r="E350" i="1"/>
  <c r="G350" i="1"/>
  <c r="H350" i="1"/>
  <c r="I350" i="1" s="1"/>
  <c r="E351" i="1"/>
  <c r="G351" i="1"/>
  <c r="H351" i="1"/>
  <c r="I351" i="1" s="1"/>
  <c r="E352" i="1"/>
  <c r="G352" i="1" s="1"/>
  <c r="E353" i="1"/>
  <c r="G353" i="1" s="1"/>
  <c r="H353" i="1" s="1"/>
  <c r="I353" i="1" s="1"/>
  <c r="E354" i="1"/>
  <c r="G354" i="1" s="1"/>
  <c r="E355" i="1"/>
  <c r="G355" i="1"/>
  <c r="H355" i="1"/>
  <c r="I355" i="1" s="1"/>
  <c r="E356" i="1"/>
  <c r="G356" i="1" s="1"/>
  <c r="E357" i="1"/>
  <c r="G357" i="1" s="1"/>
  <c r="H357" i="1"/>
  <c r="I357" i="1"/>
  <c r="E358" i="1"/>
  <c r="G358" i="1"/>
  <c r="H358" i="1"/>
  <c r="I358" i="1" s="1"/>
  <c r="E359" i="1"/>
  <c r="G359" i="1"/>
  <c r="E360" i="1"/>
  <c r="G360" i="1"/>
  <c r="E361" i="1"/>
  <c r="G361" i="1"/>
  <c r="H361" i="1"/>
  <c r="I361" i="1"/>
  <c r="E362" i="1"/>
  <c r="G362" i="1"/>
  <c r="H362" i="1"/>
  <c r="I362" i="1" s="1"/>
  <c r="E363" i="1"/>
  <c r="G363" i="1"/>
  <c r="H363" i="1"/>
  <c r="I363" i="1" s="1"/>
  <c r="E364" i="1"/>
  <c r="G364" i="1" s="1"/>
  <c r="H364" i="1" s="1"/>
  <c r="I364" i="1" s="1"/>
  <c r="E365" i="1"/>
  <c r="G365" i="1"/>
  <c r="H365" i="1" s="1"/>
  <c r="I365" i="1"/>
  <c r="E366" i="1"/>
  <c r="G366" i="1" s="1"/>
  <c r="E367" i="1"/>
  <c r="G367" i="1"/>
  <c r="H367" i="1"/>
  <c r="I367" i="1" s="1"/>
  <c r="E368" i="1"/>
  <c r="G368" i="1"/>
  <c r="E369" i="1"/>
  <c r="G369" i="1" s="1"/>
  <c r="E370" i="1"/>
  <c r="G370" i="1"/>
  <c r="E371" i="1"/>
  <c r="G371" i="1" s="1"/>
  <c r="E372" i="1"/>
  <c r="G372" i="1" s="1"/>
  <c r="E373" i="1"/>
  <c r="G373" i="1" s="1"/>
  <c r="H373" i="1"/>
  <c r="I373" i="1"/>
  <c r="E374" i="1"/>
  <c r="G374" i="1" s="1"/>
  <c r="H374" i="1"/>
  <c r="I374" i="1"/>
  <c r="E375" i="1"/>
  <c r="G375" i="1"/>
  <c r="H375" i="1" s="1"/>
  <c r="I375" i="1" s="1"/>
  <c r="E376" i="1"/>
  <c r="G376" i="1"/>
  <c r="H376" i="1" s="1"/>
  <c r="I376" i="1" s="1"/>
  <c r="E377" i="1"/>
  <c r="G377" i="1" s="1"/>
  <c r="H377" i="1"/>
  <c r="I377" i="1" s="1"/>
  <c r="E378" i="1"/>
  <c r="G378" i="1"/>
  <c r="E379" i="1"/>
  <c r="G379" i="1"/>
  <c r="H379" i="1"/>
  <c r="I379" i="1" s="1"/>
  <c r="E380" i="1"/>
  <c r="G380" i="1" s="1"/>
  <c r="E381" i="1"/>
  <c r="G381" i="1" s="1"/>
  <c r="H381" i="1"/>
  <c r="I381" i="1"/>
  <c r="E382" i="1"/>
  <c r="G382" i="1"/>
  <c r="H382" i="1"/>
  <c r="I382" i="1" s="1"/>
  <c r="E383" i="1"/>
  <c r="G383" i="1"/>
  <c r="H383" i="1"/>
  <c r="I383" i="1" s="1"/>
  <c r="E384" i="1"/>
  <c r="G384" i="1" s="1"/>
  <c r="E385" i="1"/>
  <c r="G385" i="1" s="1"/>
  <c r="E386" i="1"/>
  <c r="G386" i="1" s="1"/>
  <c r="E387" i="1"/>
  <c r="G387" i="1"/>
  <c r="E388" i="1"/>
  <c r="G388" i="1" s="1"/>
  <c r="E389" i="1"/>
  <c r="G389" i="1" s="1"/>
  <c r="E390" i="1"/>
  <c r="G390" i="1"/>
  <c r="H390" i="1"/>
  <c r="I390" i="1" s="1"/>
  <c r="E391" i="1"/>
  <c r="G391" i="1"/>
  <c r="H391" i="1"/>
  <c r="I391" i="1" s="1"/>
  <c r="E392" i="1"/>
  <c r="G392" i="1"/>
  <c r="E393" i="1"/>
  <c r="G393" i="1"/>
  <c r="E394" i="1"/>
  <c r="G394" i="1"/>
  <c r="H394" i="1" s="1"/>
  <c r="I394" i="1"/>
  <c r="E395" i="1"/>
  <c r="G395" i="1"/>
  <c r="H395" i="1"/>
  <c r="I395" i="1" s="1"/>
  <c r="E396" i="1"/>
  <c r="G396" i="1" s="1"/>
  <c r="H396" i="1"/>
  <c r="I396" i="1"/>
  <c r="E397" i="1"/>
  <c r="G397" i="1" s="1"/>
  <c r="H397" i="1" s="1"/>
  <c r="I397" i="1"/>
  <c r="E398" i="1"/>
  <c r="G398" i="1" s="1"/>
  <c r="E399" i="1"/>
  <c r="G399" i="1"/>
  <c r="H399" i="1"/>
  <c r="I399" i="1" s="1"/>
  <c r="E400" i="1"/>
  <c r="G400" i="1"/>
  <c r="H400" i="1"/>
  <c r="I400" i="1" s="1"/>
  <c r="E401" i="1"/>
  <c r="G401" i="1" s="1"/>
  <c r="E402" i="1"/>
  <c r="G402" i="1" s="1"/>
  <c r="E403" i="1"/>
  <c r="G403" i="1" s="1"/>
  <c r="H403" i="1"/>
  <c r="I403" i="1"/>
  <c r="E404" i="1"/>
  <c r="G404" i="1" s="1"/>
  <c r="E405" i="1"/>
  <c r="G405" i="1" s="1"/>
  <c r="H405" i="1"/>
  <c r="I405" i="1" s="1"/>
  <c r="E406" i="1"/>
  <c r="G406" i="1" s="1"/>
  <c r="H406" i="1"/>
  <c r="I406" i="1"/>
  <c r="E407" i="1"/>
  <c r="G407" i="1"/>
  <c r="H407" i="1"/>
  <c r="I407" i="1" s="1"/>
  <c r="E408" i="1"/>
  <c r="G408" i="1" s="1"/>
  <c r="H408" i="1" s="1"/>
  <c r="I408" i="1" s="1"/>
  <c r="E409" i="1"/>
  <c r="G409" i="1"/>
  <c r="H409" i="1" s="1"/>
  <c r="I409" i="1" s="1"/>
  <c r="E410" i="1"/>
  <c r="G410" i="1"/>
  <c r="E411" i="1"/>
  <c r="G411" i="1"/>
  <c r="H411" i="1"/>
  <c r="I411" i="1" s="1"/>
  <c r="E412" i="1"/>
  <c r="G412" i="1" s="1"/>
  <c r="E413" i="1"/>
  <c r="G413" i="1" s="1"/>
  <c r="H413" i="1"/>
  <c r="I413" i="1" s="1"/>
  <c r="E414" i="1"/>
  <c r="G414" i="1"/>
  <c r="H414" i="1"/>
  <c r="I414" i="1" s="1"/>
  <c r="E415" i="1"/>
  <c r="G415" i="1"/>
  <c r="H415" i="1"/>
  <c r="I415" i="1"/>
  <c r="E416" i="1"/>
  <c r="G416" i="1" s="1"/>
  <c r="H416" i="1" s="1"/>
  <c r="I416" i="1" s="1"/>
  <c r="E417" i="1"/>
  <c r="G417" i="1" s="1"/>
  <c r="H417" i="1" s="1"/>
  <c r="I417" i="1"/>
  <c r="E418" i="1"/>
  <c r="G418" i="1" s="1"/>
  <c r="E419" i="1"/>
  <c r="G419" i="1"/>
  <c r="E420" i="1"/>
  <c r="G420" i="1" s="1"/>
  <c r="E421" i="1"/>
  <c r="G421" i="1" s="1"/>
  <c r="H421" i="1"/>
  <c r="I421" i="1"/>
  <c r="E422" i="1"/>
  <c r="G422" i="1" s="1"/>
  <c r="E423" i="1"/>
  <c r="G423" i="1" s="1"/>
  <c r="H423" i="1"/>
  <c r="I423" i="1" s="1"/>
  <c r="E424" i="1"/>
  <c r="G424" i="1"/>
  <c r="E425" i="1"/>
  <c r="G425" i="1"/>
  <c r="H425" i="1" s="1"/>
  <c r="I425" i="1" s="1"/>
  <c r="E426" i="1"/>
  <c r="G426" i="1" s="1"/>
  <c r="H426" i="1" s="1"/>
  <c r="I426" i="1"/>
  <c r="E427" i="1"/>
  <c r="G427" i="1"/>
  <c r="H427" i="1"/>
  <c r="I427" i="1" s="1"/>
  <c r="E428" i="1"/>
  <c r="G428" i="1" s="1"/>
  <c r="H428" i="1"/>
  <c r="I428" i="1"/>
  <c r="E429" i="1"/>
  <c r="G429" i="1"/>
  <c r="H429" i="1" s="1"/>
  <c r="I429" i="1" s="1"/>
  <c r="E430" i="1"/>
  <c r="G430" i="1"/>
  <c r="H430" i="1"/>
  <c r="I430" i="1" s="1"/>
  <c r="E431" i="1"/>
  <c r="G431" i="1"/>
  <c r="H431" i="1"/>
  <c r="I431" i="1" s="1"/>
  <c r="E432" i="1"/>
  <c r="G432" i="1"/>
  <c r="H432" i="1"/>
  <c r="I432" i="1" s="1"/>
  <c r="E433" i="1"/>
  <c r="G433" i="1" s="1"/>
  <c r="H433" i="1" s="1"/>
  <c r="I433" i="1" s="1"/>
  <c r="E434" i="1"/>
  <c r="G434" i="1"/>
  <c r="E435" i="1"/>
  <c r="G435" i="1" s="1"/>
  <c r="E436" i="1"/>
  <c r="G436" i="1"/>
  <c r="H436" i="1" s="1"/>
  <c r="I436" i="1" s="1"/>
  <c r="E437" i="1"/>
  <c r="G437" i="1" s="1"/>
  <c r="H437" i="1"/>
  <c r="I437" i="1"/>
  <c r="E438" i="1"/>
  <c r="G438" i="1" s="1"/>
  <c r="E439" i="1"/>
  <c r="G439" i="1"/>
  <c r="H439" i="1" s="1"/>
  <c r="I439" i="1" s="1"/>
  <c r="E440" i="1"/>
  <c r="G440" i="1" s="1"/>
  <c r="E441" i="1"/>
  <c r="G441" i="1" s="1"/>
  <c r="E442" i="1"/>
  <c r="G442" i="1"/>
  <c r="E443" i="1"/>
  <c r="G443" i="1"/>
  <c r="H443" i="1" s="1"/>
  <c r="I443" i="1" s="1"/>
  <c r="E444" i="1"/>
  <c r="G444" i="1"/>
  <c r="H444" i="1" s="1"/>
  <c r="I444" i="1" s="1"/>
  <c r="E445" i="1"/>
  <c r="G445" i="1" s="1"/>
  <c r="H445" i="1"/>
  <c r="I445" i="1" s="1"/>
  <c r="E446" i="1"/>
  <c r="G446" i="1"/>
  <c r="H446" i="1"/>
  <c r="I446" i="1" s="1"/>
  <c r="E447" i="1"/>
  <c r="G447" i="1"/>
  <c r="H447" i="1" s="1"/>
  <c r="I447" i="1" s="1"/>
  <c r="E448" i="1"/>
  <c r="G448" i="1"/>
  <c r="H448" i="1" s="1"/>
  <c r="I448" i="1" s="1"/>
  <c r="E449" i="1"/>
  <c r="G449" i="1" s="1"/>
  <c r="E450" i="1"/>
  <c r="G450" i="1"/>
  <c r="E451" i="1"/>
  <c r="G451" i="1"/>
  <c r="E452" i="1"/>
  <c r="G452" i="1" s="1"/>
  <c r="E453" i="1"/>
  <c r="G453" i="1" s="1"/>
  <c r="H453" i="1"/>
  <c r="I453" i="1"/>
  <c r="E454" i="1"/>
  <c r="G454" i="1" s="1"/>
  <c r="H454" i="1" s="1"/>
  <c r="I454" i="1" s="1"/>
  <c r="E455" i="1"/>
  <c r="G455" i="1" s="1"/>
  <c r="E456" i="1"/>
  <c r="G456" i="1"/>
  <c r="E457" i="1"/>
  <c r="G457" i="1"/>
  <c r="H457" i="1" s="1"/>
  <c r="I457" i="1" s="1"/>
  <c r="E458" i="1"/>
  <c r="G458" i="1"/>
  <c r="H458" i="1" s="1"/>
  <c r="I458" i="1" s="1"/>
  <c r="E459" i="1"/>
  <c r="G459" i="1"/>
  <c r="H459" i="1"/>
  <c r="I459" i="1" s="1"/>
  <c r="E460" i="1"/>
  <c r="G460" i="1" s="1"/>
  <c r="H460" i="1"/>
  <c r="I460" i="1"/>
  <c r="E461" i="1"/>
  <c r="G461" i="1" s="1"/>
  <c r="H461" i="1"/>
  <c r="I461" i="1"/>
  <c r="E462" i="1"/>
  <c r="G462" i="1" s="1"/>
  <c r="E463" i="1"/>
  <c r="G463" i="1"/>
  <c r="E464" i="1"/>
  <c r="G464" i="1"/>
  <c r="E465" i="1"/>
  <c r="G465" i="1" s="1"/>
  <c r="E466" i="1"/>
  <c r="G466" i="1"/>
  <c r="E467" i="1"/>
  <c r="G467" i="1" s="1"/>
  <c r="E468" i="1"/>
  <c r="G468" i="1"/>
  <c r="E469" i="1"/>
  <c r="G469" i="1" s="1"/>
  <c r="H469" i="1"/>
  <c r="I469" i="1" s="1"/>
  <c r="E470" i="1"/>
  <c r="G470" i="1" s="1"/>
  <c r="E471" i="1"/>
  <c r="G471" i="1"/>
  <c r="H471" i="1"/>
  <c r="I471" i="1" s="1"/>
  <c r="E472" i="1"/>
  <c r="G472" i="1" s="1"/>
  <c r="H472" i="1" s="1"/>
  <c r="I472" i="1" s="1"/>
  <c r="E473" i="1"/>
  <c r="G473" i="1" s="1"/>
  <c r="E474" i="1"/>
  <c r="G474" i="1"/>
  <c r="E475" i="1"/>
  <c r="G475" i="1"/>
  <c r="H475" i="1"/>
  <c r="I475" i="1" s="1"/>
  <c r="E476" i="1"/>
  <c r="G476" i="1" s="1"/>
  <c r="E477" i="1"/>
  <c r="G477" i="1" s="1"/>
  <c r="E478" i="1"/>
  <c r="G478" i="1"/>
  <c r="E479" i="1"/>
  <c r="G479" i="1"/>
  <c r="H479" i="1"/>
  <c r="I479" i="1"/>
  <c r="E480" i="1"/>
  <c r="G480" i="1" s="1"/>
  <c r="E481" i="1"/>
  <c r="G481" i="1" s="1"/>
  <c r="H481" i="1" s="1"/>
  <c r="I481" i="1"/>
  <c r="E482" i="1"/>
  <c r="G482" i="1" s="1"/>
  <c r="E483" i="1"/>
  <c r="G483" i="1"/>
  <c r="H483" i="1" s="1"/>
  <c r="I483" i="1" s="1"/>
  <c r="E484" i="1"/>
  <c r="G484" i="1" s="1"/>
  <c r="E485" i="1"/>
  <c r="G485" i="1" s="1"/>
  <c r="H485" i="1"/>
  <c r="I485" i="1"/>
  <c r="E486" i="1"/>
  <c r="G486" i="1" s="1"/>
  <c r="E487" i="1"/>
  <c r="G487" i="1"/>
  <c r="E488" i="1"/>
  <c r="G488" i="1"/>
  <c r="E489" i="1"/>
  <c r="G489" i="1"/>
  <c r="H489" i="1"/>
  <c r="I489" i="1" s="1"/>
  <c r="E490" i="1"/>
  <c r="G490" i="1" s="1"/>
  <c r="E491" i="1"/>
  <c r="G491" i="1"/>
  <c r="H491" i="1"/>
  <c r="I491" i="1" s="1"/>
  <c r="E492" i="1"/>
  <c r="G492" i="1" s="1"/>
  <c r="H492" i="1"/>
  <c r="I492" i="1" s="1"/>
  <c r="E493" i="1"/>
  <c r="G493" i="1"/>
  <c r="H493" i="1"/>
  <c r="I493" i="1" s="1"/>
  <c r="E494" i="1"/>
  <c r="G494" i="1"/>
  <c r="H494" i="1"/>
  <c r="I494" i="1" s="1"/>
  <c r="E495" i="1"/>
  <c r="G495" i="1"/>
  <c r="E496" i="1"/>
  <c r="G496" i="1"/>
  <c r="E497" i="1"/>
  <c r="G497" i="1" s="1"/>
  <c r="H497" i="1"/>
  <c r="I497" i="1" s="1"/>
  <c r="E498" i="1"/>
  <c r="G498" i="1" s="1"/>
  <c r="E499" i="1"/>
  <c r="G499" i="1" s="1"/>
  <c r="H499" i="1"/>
  <c r="I499" i="1" s="1"/>
  <c r="E500" i="1"/>
  <c r="G500" i="1"/>
  <c r="E501" i="1"/>
  <c r="G501" i="1" s="1"/>
  <c r="H501" i="1"/>
  <c r="I501" i="1" s="1"/>
  <c r="E502" i="1"/>
  <c r="G502" i="1" s="1"/>
  <c r="H502" i="1"/>
  <c r="I502" i="1" s="1"/>
  <c r="E503" i="1"/>
  <c r="G503" i="1"/>
  <c r="H503" i="1"/>
  <c r="I503" i="1" s="1"/>
  <c r="E504" i="1"/>
  <c r="G504" i="1" s="1"/>
  <c r="E505" i="1"/>
  <c r="G505" i="1"/>
  <c r="H505" i="1"/>
  <c r="I505" i="1" s="1"/>
  <c r="E506" i="1"/>
  <c r="G506" i="1"/>
  <c r="H506" i="1" s="1"/>
  <c r="I506" i="1" s="1"/>
  <c r="E507" i="1"/>
  <c r="G507" i="1"/>
  <c r="H507" i="1"/>
  <c r="I507" i="1" s="1"/>
  <c r="E508" i="1"/>
  <c r="G508" i="1" s="1"/>
  <c r="E509" i="1"/>
  <c r="G509" i="1" s="1"/>
  <c r="H509" i="1"/>
  <c r="I509" i="1" s="1"/>
  <c r="E510" i="1"/>
  <c r="G510" i="1"/>
  <c r="E511" i="1"/>
  <c r="G511" i="1"/>
  <c r="H511" i="1"/>
  <c r="I511" i="1" s="1"/>
  <c r="E512" i="1"/>
  <c r="G512" i="1"/>
  <c r="E513" i="1"/>
  <c r="G513" i="1" s="1"/>
  <c r="E514" i="1"/>
  <c r="G514" i="1" s="1"/>
  <c r="E515" i="1"/>
  <c r="G515" i="1"/>
  <c r="E516" i="1"/>
  <c r="G516" i="1" s="1"/>
  <c r="E517" i="1"/>
  <c r="G517" i="1" s="1"/>
  <c r="H517" i="1"/>
  <c r="I517" i="1" s="1"/>
  <c r="E518" i="1"/>
  <c r="G518" i="1"/>
  <c r="H518" i="1"/>
  <c r="I518" i="1" s="1"/>
  <c r="E519" i="1"/>
  <c r="G519" i="1"/>
  <c r="E520" i="1"/>
  <c r="G520" i="1"/>
  <c r="E521" i="1"/>
  <c r="G521" i="1"/>
  <c r="H521" i="1"/>
  <c r="I521" i="1" s="1"/>
  <c r="E522" i="1"/>
  <c r="G522" i="1" s="1"/>
  <c r="E523" i="1"/>
  <c r="G523" i="1"/>
  <c r="H523" i="1"/>
  <c r="I523" i="1" s="1"/>
  <c r="E524" i="1"/>
  <c r="G524" i="1" s="1"/>
  <c r="H524" i="1" s="1"/>
  <c r="I524" i="1" s="1"/>
  <c r="E525" i="1"/>
  <c r="G525" i="1" s="1"/>
  <c r="H525" i="1"/>
  <c r="I525" i="1" s="1"/>
  <c r="E526" i="1"/>
  <c r="G526" i="1" s="1"/>
  <c r="E527" i="1"/>
  <c r="G527" i="1"/>
  <c r="H527" i="1"/>
  <c r="I527" i="1" s="1"/>
  <c r="E528" i="1"/>
  <c r="G528" i="1" s="1"/>
  <c r="H528" i="1"/>
  <c r="I528" i="1"/>
  <c r="E529" i="1"/>
  <c r="G529" i="1" s="1"/>
  <c r="H529" i="1"/>
  <c r="I529" i="1"/>
  <c r="E530" i="1"/>
  <c r="G530" i="1" s="1"/>
  <c r="E531" i="1"/>
  <c r="G531" i="1" s="1"/>
  <c r="E532" i="1"/>
  <c r="G532" i="1"/>
  <c r="H532" i="1" s="1"/>
  <c r="I532" i="1" s="1"/>
  <c r="E533" i="1"/>
  <c r="G533" i="1" s="1"/>
  <c r="H533" i="1"/>
  <c r="I533" i="1" s="1"/>
  <c r="E534" i="1"/>
  <c r="G534" i="1" s="1"/>
  <c r="E535" i="1"/>
  <c r="G535" i="1"/>
  <c r="H535" i="1" s="1"/>
  <c r="I535" i="1" s="1"/>
  <c r="E536" i="1"/>
  <c r="G536" i="1"/>
  <c r="H536" i="1" s="1"/>
  <c r="I536" i="1" s="1"/>
  <c r="E537" i="1"/>
  <c r="G537" i="1"/>
  <c r="H537" i="1" s="1"/>
  <c r="I537" i="1" s="1"/>
  <c r="E538" i="1"/>
  <c r="G538" i="1"/>
  <c r="H538" i="1" s="1"/>
  <c r="I538" i="1" s="1"/>
  <c r="E539" i="1"/>
  <c r="G539" i="1"/>
  <c r="E540" i="1"/>
  <c r="G540" i="1" s="1"/>
  <c r="E541" i="1"/>
  <c r="G541" i="1" s="1"/>
  <c r="E542" i="1"/>
  <c r="G542" i="1"/>
  <c r="H542" i="1"/>
  <c r="I542" i="1"/>
  <c r="E543" i="1"/>
  <c r="G543" i="1"/>
  <c r="H543" i="1"/>
  <c r="I543" i="1" s="1"/>
  <c r="E544" i="1"/>
  <c r="G544" i="1" s="1"/>
  <c r="E545" i="1"/>
  <c r="G545" i="1" s="1"/>
  <c r="E546" i="1"/>
  <c r="G546" i="1"/>
  <c r="H546" i="1"/>
  <c r="I546" i="1" s="1"/>
  <c r="E547" i="1"/>
  <c r="G547" i="1" s="1"/>
  <c r="H547" i="1" s="1"/>
  <c r="I547" i="1"/>
  <c r="E548" i="1"/>
  <c r="G548" i="1" s="1"/>
  <c r="E549" i="1"/>
  <c r="G549" i="1" s="1"/>
  <c r="E550" i="1"/>
  <c r="G550" i="1"/>
  <c r="H550" i="1" s="1"/>
  <c r="I550" i="1" s="1"/>
  <c r="E551" i="1"/>
  <c r="G551" i="1"/>
  <c r="H551" i="1"/>
  <c r="I551" i="1" s="1"/>
  <c r="E552" i="1"/>
  <c r="G552" i="1"/>
  <c r="H552" i="1" s="1"/>
  <c r="I552" i="1"/>
  <c r="E553" i="1"/>
  <c r="G553" i="1"/>
  <c r="H553" i="1"/>
  <c r="I553" i="1"/>
  <c r="E554" i="1"/>
  <c r="G554" i="1"/>
  <c r="H554" i="1"/>
  <c r="I554" i="1" s="1"/>
  <c r="E555" i="1"/>
  <c r="G555" i="1"/>
  <c r="H555" i="1"/>
  <c r="I555" i="1" s="1"/>
  <c r="E556" i="1"/>
  <c r="G556" i="1" s="1"/>
  <c r="H556" i="1"/>
  <c r="I556" i="1" s="1"/>
  <c r="E557" i="1"/>
  <c r="G557" i="1"/>
  <c r="E558" i="1"/>
  <c r="G558" i="1"/>
  <c r="E559" i="1"/>
  <c r="G559" i="1"/>
  <c r="E560" i="1"/>
  <c r="G560" i="1" s="1"/>
  <c r="E561" i="1"/>
  <c r="G561" i="1" s="1"/>
  <c r="H561" i="1"/>
  <c r="I561" i="1" s="1"/>
  <c r="E562" i="1"/>
  <c r="G562" i="1"/>
  <c r="E563" i="1"/>
  <c r="G563" i="1" s="1"/>
  <c r="H563" i="1"/>
  <c r="I563" i="1" s="1"/>
  <c r="E564" i="1"/>
  <c r="G564" i="1"/>
  <c r="H564" i="1" s="1"/>
  <c r="I564" i="1" s="1"/>
  <c r="E565" i="1"/>
  <c r="G565" i="1" s="1"/>
  <c r="H565" i="1" s="1"/>
  <c r="I565" i="1" s="1"/>
  <c r="E566" i="1"/>
  <c r="G566" i="1"/>
  <c r="E567" i="1"/>
  <c r="G567" i="1"/>
  <c r="H567" i="1" s="1"/>
  <c r="I567" i="1" s="1"/>
  <c r="E568" i="1"/>
  <c r="G568" i="1" s="1"/>
  <c r="H568" i="1" s="1"/>
  <c r="I568" i="1" s="1"/>
  <c r="E569" i="1"/>
  <c r="G569" i="1" s="1"/>
  <c r="E570" i="1"/>
  <c r="G570" i="1" s="1"/>
  <c r="E571" i="1"/>
  <c r="G571" i="1"/>
  <c r="H571" i="1" s="1"/>
  <c r="I571" i="1" s="1"/>
  <c r="E572" i="1"/>
  <c r="G572" i="1"/>
  <c r="E573" i="1"/>
  <c r="G573" i="1"/>
  <c r="H573" i="1"/>
  <c r="I573" i="1" s="1"/>
  <c r="E574" i="1"/>
  <c r="G574" i="1"/>
  <c r="E575" i="1"/>
  <c r="G575" i="1"/>
  <c r="H575" i="1"/>
  <c r="I575" i="1"/>
  <c r="E576" i="1"/>
  <c r="G576" i="1"/>
  <c r="E577" i="1"/>
  <c r="G577" i="1" s="1"/>
  <c r="H577" i="1" s="1"/>
  <c r="I577" i="1"/>
  <c r="E578" i="1"/>
  <c r="G578" i="1"/>
  <c r="E579" i="1"/>
  <c r="G579" i="1" s="1"/>
  <c r="H579" i="1"/>
  <c r="I579" i="1" s="1"/>
  <c r="E580" i="1"/>
  <c r="G580" i="1" s="1"/>
  <c r="E581" i="1"/>
  <c r="G581" i="1" s="1"/>
  <c r="H581" i="1"/>
  <c r="I581" i="1" s="1"/>
  <c r="E582" i="1"/>
  <c r="G582" i="1"/>
  <c r="H582" i="1" s="1"/>
  <c r="I582" i="1" s="1"/>
  <c r="E583" i="1"/>
  <c r="G583" i="1" s="1"/>
  <c r="E584" i="1"/>
  <c r="G584" i="1"/>
  <c r="H584" i="1" s="1"/>
  <c r="I584" i="1"/>
  <c r="E585" i="1"/>
  <c r="G585" i="1"/>
  <c r="E586" i="1"/>
  <c r="G586" i="1"/>
  <c r="H586" i="1"/>
  <c r="I586" i="1" s="1"/>
  <c r="E587" i="1"/>
  <c r="G587" i="1"/>
  <c r="H587" i="1"/>
  <c r="I587" i="1" s="1"/>
  <c r="E588" i="1"/>
  <c r="G588" i="1" s="1"/>
  <c r="H588" i="1"/>
  <c r="I588" i="1" s="1"/>
  <c r="E589" i="1"/>
  <c r="G589" i="1" s="1"/>
  <c r="H589" i="1"/>
  <c r="I589" i="1"/>
  <c r="E590" i="1"/>
  <c r="G590" i="1" s="1"/>
  <c r="E591" i="1"/>
  <c r="G591" i="1"/>
  <c r="H591" i="1" s="1"/>
  <c r="I591" i="1" s="1"/>
  <c r="E592" i="1"/>
  <c r="G592" i="1"/>
  <c r="H592" i="1"/>
  <c r="I592" i="1" s="1"/>
  <c r="E593" i="1"/>
  <c r="G593" i="1" s="1"/>
  <c r="H593" i="1" s="1"/>
  <c r="I593" i="1"/>
  <c r="E594" i="1"/>
  <c r="G594" i="1" s="1"/>
  <c r="E595" i="1"/>
  <c r="G595" i="1" s="1"/>
  <c r="E596" i="1"/>
  <c r="G596" i="1"/>
  <c r="H596" i="1" s="1"/>
  <c r="I596" i="1" s="1"/>
  <c r="E597" i="1"/>
  <c r="G597" i="1" s="1"/>
  <c r="H597" i="1"/>
  <c r="I597" i="1"/>
  <c r="E598" i="1"/>
  <c r="G598" i="1" s="1"/>
  <c r="H598" i="1"/>
  <c r="I598" i="1" s="1"/>
  <c r="E599" i="1"/>
  <c r="G599" i="1"/>
  <c r="H599" i="1" s="1"/>
  <c r="I599" i="1" s="1"/>
  <c r="E600" i="1"/>
  <c r="G600" i="1" s="1"/>
  <c r="E601" i="1"/>
  <c r="G601" i="1"/>
  <c r="H601" i="1"/>
  <c r="I601" i="1" s="1"/>
  <c r="E602" i="1"/>
  <c r="G602" i="1"/>
  <c r="H602" i="1" s="1"/>
  <c r="I602" i="1" s="1"/>
  <c r="E603" i="1"/>
  <c r="G603" i="1"/>
  <c r="H603" i="1" s="1"/>
  <c r="I603" i="1" s="1"/>
  <c r="E604" i="1"/>
  <c r="G604" i="1" s="1"/>
  <c r="H604" i="1" s="1"/>
  <c r="I604" i="1" s="1"/>
  <c r="E605" i="1"/>
  <c r="G605" i="1"/>
  <c r="E606" i="1"/>
  <c r="G606" i="1"/>
  <c r="E607" i="1"/>
  <c r="G607" i="1"/>
  <c r="H607" i="1"/>
  <c r="I607" i="1" s="1"/>
  <c r="E608" i="1"/>
  <c r="G608" i="1" s="1"/>
  <c r="E609" i="1"/>
  <c r="G609" i="1" s="1"/>
  <c r="H609" i="1" s="1"/>
  <c r="I609" i="1" s="1"/>
  <c r="E610" i="1"/>
  <c r="G610" i="1"/>
  <c r="E611" i="1"/>
  <c r="G611" i="1" s="1"/>
  <c r="H611" i="1" s="1"/>
  <c r="I611" i="1"/>
  <c r="E612" i="1"/>
  <c r="G612" i="1" s="1"/>
  <c r="E613" i="1"/>
  <c r="G613" i="1" s="1"/>
  <c r="E614" i="1"/>
  <c r="G614" i="1" s="1"/>
  <c r="E615" i="1"/>
  <c r="G615" i="1" s="1"/>
  <c r="H615" i="1"/>
  <c r="I615" i="1" s="1"/>
  <c r="E616" i="1"/>
  <c r="G616" i="1"/>
  <c r="E617" i="1"/>
  <c r="G617" i="1"/>
  <c r="H617" i="1" s="1"/>
  <c r="I617" i="1" s="1"/>
  <c r="E618" i="1"/>
  <c r="G618" i="1"/>
  <c r="E619" i="1"/>
  <c r="G619" i="1"/>
  <c r="H619" i="1"/>
  <c r="I619" i="1" s="1"/>
  <c r="E620" i="1"/>
  <c r="G620" i="1" s="1"/>
  <c r="H620" i="1"/>
  <c r="I620" i="1"/>
  <c r="E621" i="1"/>
  <c r="G621" i="1" s="1"/>
  <c r="E622" i="1"/>
  <c r="G622" i="1"/>
  <c r="E623" i="1"/>
  <c r="G623" i="1"/>
  <c r="H623" i="1"/>
  <c r="I623" i="1" s="1"/>
  <c r="E624" i="1"/>
  <c r="G624" i="1"/>
  <c r="H624" i="1"/>
  <c r="I624" i="1"/>
  <c r="E625" i="1"/>
  <c r="G625" i="1" s="1"/>
  <c r="E626" i="1"/>
  <c r="G626" i="1"/>
  <c r="E627" i="1"/>
  <c r="G627" i="1" s="1"/>
  <c r="H627" i="1"/>
  <c r="I627" i="1"/>
  <c r="E628" i="1"/>
  <c r="G628" i="1"/>
  <c r="H628" i="1" s="1"/>
  <c r="I628" i="1" s="1"/>
  <c r="E629" i="1"/>
  <c r="G629" i="1" s="1"/>
  <c r="E630" i="1"/>
  <c r="G630" i="1" s="1"/>
  <c r="E631" i="1"/>
  <c r="G631" i="1"/>
  <c r="E632" i="1"/>
  <c r="G632" i="1"/>
  <c r="H632" i="1" s="1"/>
  <c r="I632" i="1"/>
  <c r="E633" i="1"/>
  <c r="G633" i="1"/>
  <c r="E634" i="1"/>
  <c r="G634" i="1"/>
  <c r="H634" i="1" s="1"/>
  <c r="I634" i="1" s="1"/>
  <c r="E635" i="1"/>
  <c r="G635" i="1"/>
  <c r="H635" i="1"/>
  <c r="I635" i="1" s="1"/>
  <c r="E636" i="1"/>
  <c r="G636" i="1"/>
  <c r="H636" i="1"/>
  <c r="I636" i="1"/>
  <c r="E637" i="1"/>
  <c r="G637" i="1"/>
  <c r="E638" i="1"/>
  <c r="G638" i="1"/>
  <c r="E639" i="1"/>
  <c r="G639" i="1"/>
  <c r="H639" i="1"/>
  <c r="I639" i="1"/>
  <c r="E640" i="1"/>
  <c r="G640" i="1"/>
  <c r="H640" i="1" s="1"/>
  <c r="I640" i="1"/>
  <c r="E641" i="1"/>
  <c r="G641" i="1" s="1"/>
  <c r="E642" i="1"/>
  <c r="G642" i="1" s="1"/>
  <c r="E643" i="1"/>
  <c r="G643" i="1" s="1"/>
  <c r="E644" i="1"/>
  <c r="G644" i="1"/>
  <c r="E645" i="1"/>
  <c r="G645" i="1" s="1"/>
  <c r="H645" i="1"/>
  <c r="I645" i="1" s="1"/>
  <c r="E646" i="1"/>
  <c r="G646" i="1"/>
  <c r="E647" i="1"/>
  <c r="G647" i="1"/>
  <c r="E648" i="1"/>
  <c r="G648" i="1"/>
  <c r="H648" i="1" s="1"/>
  <c r="I648" i="1"/>
  <c r="E649" i="1"/>
  <c r="G649" i="1"/>
  <c r="H649" i="1"/>
  <c r="I649" i="1"/>
  <c r="E650" i="1"/>
  <c r="G650" i="1"/>
  <c r="H650" i="1"/>
  <c r="I650" i="1" s="1"/>
  <c r="E651" i="1"/>
  <c r="G651" i="1"/>
  <c r="H651" i="1"/>
  <c r="I651" i="1" s="1"/>
  <c r="E652" i="1"/>
  <c r="G652" i="1" s="1"/>
  <c r="E653" i="1"/>
  <c r="G653" i="1"/>
  <c r="H653" i="1"/>
  <c r="I653" i="1" s="1"/>
  <c r="E654" i="1"/>
  <c r="G654" i="1"/>
  <c r="H654" i="1"/>
  <c r="I654" i="1" s="1"/>
  <c r="E655" i="1"/>
  <c r="G655" i="1"/>
  <c r="H655" i="1"/>
  <c r="I655" i="1" s="1"/>
  <c r="E656" i="1"/>
  <c r="G656" i="1" s="1"/>
  <c r="E657" i="1"/>
  <c r="G657" i="1" s="1"/>
  <c r="H657" i="1" s="1"/>
  <c r="I657" i="1"/>
  <c r="E658" i="1"/>
  <c r="G658" i="1" s="1"/>
  <c r="H658" i="1"/>
  <c r="I658" i="1"/>
  <c r="E659" i="1"/>
  <c r="G659" i="1"/>
  <c r="H659" i="1"/>
  <c r="I659" i="1"/>
  <c r="E660" i="1"/>
  <c r="G660" i="1" s="1"/>
  <c r="E661" i="1"/>
  <c r="G661" i="1" s="1"/>
  <c r="H661" i="1"/>
  <c r="I661" i="1" s="1"/>
  <c r="E662" i="1"/>
  <c r="G662" i="1"/>
  <c r="H662" i="1" s="1"/>
  <c r="I662" i="1"/>
  <c r="E663" i="1"/>
  <c r="G663" i="1" s="1"/>
  <c r="H663" i="1"/>
  <c r="I663" i="1" s="1"/>
  <c r="E664" i="1"/>
  <c r="G664" i="1" s="1"/>
  <c r="H664" i="1"/>
  <c r="I664" i="1" s="1"/>
  <c r="E665" i="1"/>
  <c r="G665" i="1" s="1"/>
  <c r="H665" i="1"/>
  <c r="I665" i="1"/>
  <c r="E666" i="1"/>
  <c r="G666" i="1"/>
  <c r="H666" i="1"/>
  <c r="I666" i="1"/>
  <c r="E667" i="1"/>
  <c r="G667" i="1"/>
  <c r="H667" i="1"/>
  <c r="I667" i="1" s="1"/>
  <c r="E668" i="1"/>
  <c r="G668" i="1" s="1"/>
  <c r="H668" i="1"/>
  <c r="I668" i="1" s="1"/>
  <c r="E669" i="1"/>
  <c r="G669" i="1" s="1"/>
  <c r="E670" i="1"/>
  <c r="G670" i="1" s="1"/>
  <c r="E671" i="1"/>
  <c r="G671" i="1"/>
  <c r="H671" i="1" s="1"/>
  <c r="I671" i="1" s="1"/>
  <c r="E672" i="1"/>
  <c r="G672" i="1"/>
  <c r="H672" i="1" s="1"/>
  <c r="I672" i="1" s="1"/>
  <c r="E673" i="1"/>
  <c r="G673" i="1" s="1"/>
  <c r="H673" i="1" s="1"/>
  <c r="I673" i="1" s="1"/>
  <c r="E674" i="1"/>
  <c r="G674" i="1"/>
  <c r="E675" i="1"/>
  <c r="G675" i="1"/>
  <c r="E676" i="1"/>
  <c r="G676" i="1"/>
  <c r="H676" i="1" s="1"/>
  <c r="I676" i="1"/>
  <c r="E677" i="1"/>
  <c r="G677" i="1" s="1"/>
  <c r="H677" i="1" s="1"/>
  <c r="I677" i="1" s="1"/>
  <c r="E678" i="1"/>
  <c r="G678" i="1" s="1"/>
  <c r="E679" i="1"/>
  <c r="G679" i="1" s="1"/>
  <c r="H679" i="1"/>
  <c r="I679" i="1" s="1"/>
  <c r="E680" i="1"/>
  <c r="G680" i="1" s="1"/>
  <c r="H680" i="1" s="1"/>
  <c r="I680" i="1"/>
  <c r="E681" i="1"/>
  <c r="G681" i="1"/>
  <c r="H681" i="1" s="1"/>
  <c r="I681" i="1" s="1"/>
  <c r="E682" i="1"/>
  <c r="G682" i="1"/>
  <c r="E683" i="1"/>
  <c r="G683" i="1"/>
  <c r="H683" i="1"/>
  <c r="I683" i="1" s="1"/>
  <c r="E684" i="1"/>
  <c r="G684" i="1"/>
  <c r="H684" i="1"/>
  <c r="I684" i="1" s="1"/>
  <c r="E685" i="1"/>
  <c r="G685" i="1" s="1"/>
  <c r="E686" i="1"/>
  <c r="G686" i="1"/>
  <c r="E687" i="1"/>
  <c r="G687" i="1" s="1"/>
  <c r="H687" i="1"/>
  <c r="I687" i="1"/>
  <c r="E688" i="1"/>
  <c r="G688" i="1"/>
  <c r="E689" i="1"/>
  <c r="G689" i="1" s="1"/>
  <c r="H689" i="1" s="1"/>
  <c r="I689" i="1" s="1"/>
  <c r="E690" i="1"/>
  <c r="G690" i="1" s="1"/>
  <c r="H690" i="1"/>
  <c r="I690" i="1"/>
  <c r="E691" i="1"/>
  <c r="G691" i="1"/>
  <c r="H691" i="1"/>
  <c r="I691" i="1"/>
  <c r="E692" i="1"/>
  <c r="G692" i="1"/>
  <c r="H692" i="1" s="1"/>
  <c r="I692" i="1"/>
  <c r="E693" i="1"/>
  <c r="G693" i="1"/>
  <c r="H693" i="1" s="1"/>
  <c r="I693" i="1" s="1"/>
  <c r="E694" i="1"/>
  <c r="G694" i="1"/>
  <c r="H694" i="1" s="1"/>
  <c r="I694" i="1"/>
  <c r="E695" i="1"/>
  <c r="G695" i="1" s="1"/>
  <c r="H695" i="1"/>
  <c r="I695" i="1" s="1"/>
  <c r="E696" i="1"/>
  <c r="G696" i="1" s="1"/>
  <c r="H696" i="1"/>
  <c r="I696" i="1" s="1"/>
  <c r="E697" i="1"/>
  <c r="G697" i="1"/>
  <c r="H697" i="1" s="1"/>
  <c r="I697" i="1" s="1"/>
  <c r="E698" i="1"/>
  <c r="G698" i="1" s="1"/>
  <c r="E699" i="1"/>
  <c r="G699" i="1"/>
  <c r="H699" i="1" s="1"/>
  <c r="I699" i="1"/>
  <c r="E700" i="1"/>
  <c r="G700" i="1"/>
  <c r="E701" i="1"/>
  <c r="G701" i="1" s="1"/>
  <c r="E702" i="1"/>
  <c r="G702" i="1"/>
  <c r="H702" i="1"/>
  <c r="I702" i="1"/>
  <c r="E703" i="1"/>
  <c r="G703" i="1"/>
  <c r="H703" i="1"/>
  <c r="I703" i="1"/>
  <c r="E704" i="1"/>
  <c r="G704" i="1" s="1"/>
  <c r="H704" i="1" s="1"/>
  <c r="I704" i="1"/>
  <c r="E705" i="1"/>
  <c r="G705" i="1" s="1"/>
  <c r="H705" i="1" s="1"/>
  <c r="I705" i="1" s="1"/>
  <c r="E706" i="1"/>
  <c r="G706" i="1" s="1"/>
  <c r="H706" i="1" s="1"/>
  <c r="I706" i="1" s="1"/>
  <c r="E707" i="1"/>
  <c r="G707" i="1" s="1"/>
  <c r="E708" i="1"/>
  <c r="G708" i="1" s="1"/>
  <c r="H708" i="1" s="1"/>
  <c r="I708" i="1"/>
  <c r="E709" i="1"/>
  <c r="G709" i="1"/>
  <c r="H709" i="1"/>
  <c r="I709" i="1" s="1"/>
  <c r="E710" i="1"/>
  <c r="G710" i="1" s="1"/>
  <c r="H710" i="1" s="1"/>
  <c r="I710" i="1" s="1"/>
  <c r="E711" i="1"/>
  <c r="G711" i="1"/>
  <c r="H711" i="1"/>
  <c r="I711" i="1" s="1"/>
  <c r="E712" i="1"/>
  <c r="G712" i="1" s="1"/>
  <c r="H712" i="1"/>
  <c r="I712" i="1"/>
  <c r="E713" i="1"/>
  <c r="G713" i="1" s="1"/>
  <c r="H713" i="1"/>
  <c r="I713" i="1" s="1"/>
  <c r="E714" i="1"/>
  <c r="G714" i="1"/>
  <c r="H714" i="1" s="1"/>
  <c r="I714" i="1" s="1"/>
  <c r="E715" i="1"/>
  <c r="G715" i="1"/>
  <c r="H715" i="1" s="1"/>
  <c r="I715" i="1"/>
  <c r="E716" i="1"/>
  <c r="G716" i="1" s="1"/>
  <c r="H716" i="1"/>
  <c r="I716" i="1"/>
  <c r="E717" i="1"/>
  <c r="G717" i="1"/>
  <c r="H717" i="1"/>
  <c r="I717" i="1" s="1"/>
  <c r="E718" i="1"/>
  <c r="G718" i="1" s="1"/>
  <c r="E719" i="1"/>
  <c r="G719" i="1"/>
  <c r="H719" i="1" s="1"/>
  <c r="I719" i="1" s="1"/>
  <c r="E720" i="1"/>
  <c r="G720" i="1"/>
  <c r="E721" i="1"/>
  <c r="G721" i="1" s="1"/>
  <c r="H721" i="1"/>
  <c r="I721" i="1" s="1"/>
  <c r="E722" i="1"/>
  <c r="G722" i="1" s="1"/>
  <c r="H722" i="1" s="1"/>
  <c r="I722" i="1" s="1"/>
  <c r="E723" i="1"/>
  <c r="G723" i="1"/>
  <c r="E724" i="1"/>
  <c r="G724" i="1" s="1"/>
  <c r="H724" i="1" s="1"/>
  <c r="I724" i="1"/>
  <c r="E725" i="1"/>
  <c r="G725" i="1" s="1"/>
  <c r="H725" i="1"/>
  <c r="I725" i="1" s="1"/>
  <c r="E726" i="1"/>
  <c r="G726" i="1" s="1"/>
  <c r="E727" i="1"/>
  <c r="G727" i="1" s="1"/>
  <c r="H727" i="1"/>
  <c r="I727" i="1" s="1"/>
  <c r="E728" i="1"/>
  <c r="G728" i="1" s="1"/>
  <c r="H728" i="1"/>
  <c r="I728" i="1"/>
  <c r="E729" i="1"/>
  <c r="G729" i="1"/>
  <c r="H729" i="1"/>
  <c r="I729" i="1" s="1"/>
  <c r="E730" i="1"/>
  <c r="G730" i="1"/>
  <c r="H730" i="1"/>
  <c r="I730" i="1" s="1"/>
  <c r="E731" i="1"/>
  <c r="G731" i="1"/>
  <c r="H731" i="1"/>
  <c r="I731" i="1" s="1"/>
  <c r="E732" i="1"/>
  <c r="G732" i="1" s="1"/>
  <c r="H732" i="1"/>
  <c r="I732" i="1"/>
  <c r="E733" i="1"/>
  <c r="G733" i="1"/>
  <c r="E734" i="1"/>
  <c r="G734" i="1" s="1"/>
  <c r="E735" i="1"/>
  <c r="G735" i="1" s="1"/>
  <c r="E736" i="1"/>
  <c r="G736" i="1" s="1"/>
  <c r="E737" i="1"/>
  <c r="G737" i="1" s="1"/>
  <c r="H737" i="1"/>
  <c r="I737" i="1"/>
  <c r="E738" i="1"/>
  <c r="G738" i="1"/>
  <c r="H738" i="1" s="1"/>
  <c r="I738" i="1"/>
  <c r="E739" i="1"/>
  <c r="G739" i="1"/>
  <c r="E740" i="1"/>
  <c r="G740" i="1"/>
  <c r="H740" i="1" s="1"/>
  <c r="I740" i="1" s="1"/>
  <c r="E741" i="1"/>
  <c r="G741" i="1"/>
  <c r="H741" i="1"/>
  <c r="I741" i="1"/>
  <c r="E742" i="1"/>
  <c r="G742" i="1"/>
  <c r="E743" i="1"/>
  <c r="G743" i="1" s="1"/>
  <c r="E744" i="1"/>
  <c r="G744" i="1" s="1"/>
  <c r="E745" i="1"/>
  <c r="G745" i="1"/>
  <c r="H745" i="1"/>
  <c r="I745" i="1"/>
  <c r="E746" i="1"/>
  <c r="G746" i="1"/>
  <c r="H746" i="1"/>
  <c r="I746" i="1" s="1"/>
  <c r="E747" i="1"/>
  <c r="G747" i="1"/>
  <c r="H747" i="1" s="1"/>
  <c r="I747" i="1" s="1"/>
  <c r="E748" i="1"/>
  <c r="G748" i="1" s="1"/>
  <c r="E749" i="1"/>
  <c r="G749" i="1"/>
  <c r="E750" i="1"/>
  <c r="G750" i="1"/>
  <c r="E751" i="1"/>
  <c r="G751" i="1" s="1"/>
  <c r="E752" i="1"/>
  <c r="G752" i="1" s="1"/>
  <c r="E753" i="1"/>
  <c r="G753" i="1" s="1"/>
  <c r="E754" i="1"/>
  <c r="G754" i="1" s="1"/>
  <c r="H754" i="1"/>
  <c r="I754" i="1" s="1"/>
  <c r="E755" i="1"/>
  <c r="G755" i="1"/>
  <c r="E756" i="1"/>
  <c r="G756" i="1"/>
  <c r="E757" i="1"/>
  <c r="G757" i="1"/>
  <c r="H757" i="1"/>
  <c r="I757" i="1" s="1"/>
  <c r="E758" i="1"/>
  <c r="G758" i="1"/>
  <c r="H758" i="1"/>
  <c r="I758" i="1"/>
  <c r="E759" i="1"/>
  <c r="G759" i="1" s="1"/>
  <c r="E760" i="1"/>
  <c r="G760" i="1"/>
  <c r="H760" i="1"/>
  <c r="I760" i="1"/>
  <c r="E761" i="1"/>
  <c r="G761" i="1"/>
  <c r="H761" i="1"/>
  <c r="I761" i="1"/>
  <c r="E762" i="1"/>
  <c r="G762" i="1" s="1"/>
  <c r="H762" i="1"/>
  <c r="I762" i="1"/>
  <c r="E763" i="1"/>
  <c r="G763" i="1" s="1"/>
  <c r="E764" i="1"/>
  <c r="G764" i="1"/>
  <c r="H764" i="1"/>
  <c r="I764" i="1" s="1"/>
  <c r="E765" i="1"/>
  <c r="G765" i="1"/>
  <c r="H765" i="1" s="1"/>
  <c r="I765" i="1"/>
  <c r="E766" i="1"/>
  <c r="G766" i="1" s="1"/>
  <c r="H766" i="1"/>
  <c r="I766" i="1"/>
  <c r="E767" i="1"/>
  <c r="G767" i="1" s="1"/>
  <c r="E768" i="1"/>
  <c r="G768" i="1" s="1"/>
  <c r="H768" i="1"/>
  <c r="I768" i="1" s="1"/>
  <c r="E769" i="1"/>
  <c r="G769" i="1"/>
  <c r="E770" i="1"/>
  <c r="G770" i="1"/>
  <c r="H770" i="1"/>
  <c r="I770" i="1" s="1"/>
  <c r="E771" i="1"/>
  <c r="G771" i="1" s="1"/>
  <c r="E772" i="1"/>
  <c r="G772" i="1"/>
  <c r="H772" i="1"/>
  <c r="I772" i="1" s="1"/>
  <c r="E773" i="1"/>
  <c r="G773" i="1"/>
  <c r="E774" i="1"/>
  <c r="G774" i="1" s="1"/>
  <c r="E775" i="1"/>
  <c r="G775" i="1"/>
  <c r="E776" i="1"/>
  <c r="G776" i="1"/>
  <c r="H776" i="1"/>
  <c r="I776" i="1"/>
  <c r="E777" i="1"/>
  <c r="G777" i="1" s="1"/>
  <c r="E778" i="1"/>
  <c r="G778" i="1" s="1"/>
  <c r="H778" i="1"/>
  <c r="I778" i="1" s="1"/>
  <c r="E779" i="1"/>
  <c r="G779" i="1"/>
  <c r="H779" i="1"/>
  <c r="I779" i="1" s="1"/>
  <c r="E780" i="1"/>
  <c r="G780" i="1"/>
  <c r="H780" i="1"/>
  <c r="I780" i="1" s="1"/>
  <c r="E781" i="1"/>
  <c r="G781" i="1"/>
  <c r="H781" i="1" s="1"/>
  <c r="I781" i="1" s="1"/>
  <c r="E782" i="1"/>
  <c r="G782" i="1" s="1"/>
  <c r="H782" i="1"/>
  <c r="I782" i="1" s="1"/>
  <c r="E783" i="1"/>
  <c r="G783" i="1"/>
  <c r="H783" i="1"/>
  <c r="I783" i="1" s="1"/>
  <c r="E784" i="1"/>
  <c r="G784" i="1"/>
  <c r="H784" i="1"/>
  <c r="I784" i="1" s="1"/>
  <c r="E785" i="1"/>
  <c r="G785" i="1" s="1"/>
  <c r="H785" i="1" s="1"/>
  <c r="I785" i="1"/>
  <c r="E786" i="1"/>
  <c r="G786" i="1" s="1"/>
  <c r="H786" i="1"/>
  <c r="I786" i="1"/>
  <c r="E787" i="1"/>
  <c r="G787" i="1"/>
  <c r="H787" i="1"/>
  <c r="I787" i="1" s="1"/>
  <c r="E788" i="1"/>
  <c r="G788" i="1"/>
  <c r="H788" i="1"/>
  <c r="I788" i="1" s="1"/>
  <c r="E789" i="1"/>
  <c r="G789" i="1"/>
  <c r="H789" i="1"/>
  <c r="I789" i="1" s="1"/>
  <c r="E790" i="1"/>
  <c r="G790" i="1"/>
  <c r="H790" i="1" s="1"/>
  <c r="I790" i="1" s="1"/>
  <c r="E791" i="1"/>
  <c r="G791" i="1"/>
  <c r="E792" i="1"/>
  <c r="G792" i="1"/>
  <c r="H792" i="1"/>
  <c r="I792" i="1"/>
  <c r="E793" i="1"/>
  <c r="G793" i="1"/>
  <c r="E794" i="1"/>
  <c r="G794" i="1" s="1"/>
  <c r="E795" i="1"/>
  <c r="G795" i="1" s="1"/>
  <c r="E796" i="1"/>
  <c r="G796" i="1"/>
  <c r="H796" i="1"/>
  <c r="I796" i="1" s="1"/>
  <c r="E797" i="1"/>
  <c r="G797" i="1" s="1"/>
  <c r="E798" i="1"/>
  <c r="G798" i="1" s="1"/>
  <c r="E799" i="1"/>
  <c r="G799" i="1"/>
  <c r="H799" i="1" s="1"/>
  <c r="I799" i="1"/>
  <c r="E800" i="1"/>
  <c r="G800" i="1" s="1"/>
  <c r="H800" i="1"/>
  <c r="I800" i="1" s="1"/>
  <c r="E801" i="1"/>
  <c r="G801" i="1"/>
  <c r="H801" i="1" s="1"/>
  <c r="I801" i="1" s="1"/>
  <c r="E802" i="1"/>
  <c r="G802" i="1" s="1"/>
  <c r="H802" i="1" s="1"/>
  <c r="I802" i="1" s="1"/>
  <c r="E803" i="1"/>
  <c r="G803" i="1" s="1"/>
  <c r="E804" i="1"/>
  <c r="G804" i="1"/>
  <c r="H804" i="1"/>
  <c r="I804" i="1" s="1"/>
  <c r="E805" i="1"/>
  <c r="G805" i="1" s="1"/>
  <c r="E806" i="1"/>
  <c r="G806" i="1"/>
  <c r="H806" i="1" s="1"/>
  <c r="I806" i="1"/>
  <c r="E807" i="1"/>
  <c r="G807" i="1"/>
  <c r="E808" i="1"/>
  <c r="G808" i="1"/>
  <c r="H808" i="1"/>
  <c r="I808" i="1" s="1"/>
  <c r="E809" i="1"/>
  <c r="G809" i="1"/>
  <c r="H809" i="1" s="1"/>
  <c r="I809" i="1" s="1"/>
  <c r="E810" i="1"/>
  <c r="G810" i="1" s="1"/>
  <c r="H810" i="1"/>
  <c r="I810" i="1" s="1"/>
  <c r="E811" i="1"/>
  <c r="G811" i="1"/>
  <c r="H811" i="1"/>
  <c r="I811" i="1"/>
  <c r="E812" i="1"/>
  <c r="G812" i="1" s="1"/>
  <c r="E813" i="1"/>
  <c r="G813" i="1" s="1"/>
  <c r="H813" i="1" s="1"/>
  <c r="I813" i="1" s="1"/>
  <c r="E814" i="1"/>
  <c r="G814" i="1" s="1"/>
  <c r="H814" i="1"/>
  <c r="I814" i="1" s="1"/>
  <c r="E815" i="1"/>
  <c r="G815" i="1"/>
  <c r="H815" i="1"/>
  <c r="I815" i="1"/>
  <c r="E816" i="1"/>
  <c r="G816" i="1"/>
  <c r="H816" i="1"/>
  <c r="I816" i="1" s="1"/>
  <c r="E817" i="1"/>
  <c r="G817" i="1" s="1"/>
  <c r="H817" i="1" s="1"/>
  <c r="I817" i="1"/>
  <c r="E818" i="1"/>
  <c r="G818" i="1" s="1"/>
  <c r="H818" i="1"/>
  <c r="I818" i="1"/>
  <c r="E819" i="1"/>
  <c r="G819" i="1"/>
  <c r="H819" i="1"/>
  <c r="I819" i="1"/>
  <c r="E820" i="1"/>
  <c r="G820" i="1"/>
  <c r="H820" i="1"/>
  <c r="I820" i="1" s="1"/>
  <c r="E821" i="1"/>
  <c r="G821" i="1"/>
  <c r="H821" i="1" s="1"/>
  <c r="I821" i="1" s="1"/>
  <c r="E822" i="1"/>
  <c r="G822" i="1"/>
  <c r="E823" i="1"/>
  <c r="G823" i="1"/>
  <c r="H823" i="1"/>
  <c r="I823" i="1"/>
  <c r="E824" i="1"/>
  <c r="G824" i="1"/>
  <c r="H824" i="1"/>
  <c r="I824" i="1" s="1"/>
  <c r="E825" i="1"/>
  <c r="G825" i="1" s="1"/>
  <c r="E826" i="1"/>
  <c r="G826" i="1" s="1"/>
  <c r="H826" i="1"/>
  <c r="I826" i="1"/>
  <c r="E827" i="1"/>
  <c r="G827" i="1"/>
  <c r="H827" i="1"/>
  <c r="I827" i="1"/>
  <c r="E828" i="1"/>
  <c r="G828" i="1"/>
  <c r="H828" i="1"/>
  <c r="I828" i="1" s="1"/>
  <c r="E829" i="1"/>
  <c r="G829" i="1" s="1"/>
  <c r="E830" i="1"/>
  <c r="G830" i="1" s="1"/>
  <c r="H830" i="1"/>
  <c r="I830" i="1"/>
  <c r="E831" i="1"/>
  <c r="G831" i="1"/>
  <c r="H831" i="1" s="1"/>
  <c r="I831" i="1" s="1"/>
  <c r="E832" i="1"/>
  <c r="G832" i="1" s="1"/>
  <c r="H832" i="1"/>
  <c r="I832" i="1" s="1"/>
  <c r="E833" i="1"/>
  <c r="G833" i="1" s="1"/>
  <c r="H833" i="1" s="1"/>
  <c r="I833" i="1" s="1"/>
  <c r="E834" i="1"/>
  <c r="G834" i="1" s="1"/>
  <c r="E835" i="1"/>
  <c r="G835" i="1"/>
  <c r="H835" i="1"/>
  <c r="I835" i="1" s="1"/>
  <c r="E836" i="1"/>
  <c r="G836" i="1"/>
  <c r="H836" i="1"/>
  <c r="I836" i="1" s="1"/>
  <c r="E837" i="1"/>
  <c r="G837" i="1" s="1"/>
  <c r="E838" i="1"/>
  <c r="G838" i="1"/>
  <c r="H838" i="1" s="1"/>
  <c r="I838" i="1"/>
  <c r="E839" i="1"/>
  <c r="G839" i="1"/>
  <c r="E840" i="1"/>
  <c r="G840" i="1"/>
  <c r="H840" i="1"/>
  <c r="I840" i="1" s="1"/>
  <c r="E841" i="1"/>
  <c r="G841" i="1"/>
  <c r="H841" i="1"/>
  <c r="I841" i="1" s="1"/>
  <c r="E842" i="1"/>
  <c r="G842" i="1" s="1"/>
  <c r="H842" i="1"/>
  <c r="I842" i="1"/>
  <c r="E843" i="1"/>
  <c r="G843" i="1"/>
  <c r="H843" i="1"/>
  <c r="I843" i="1"/>
  <c r="E844" i="1"/>
  <c r="G844" i="1"/>
  <c r="H844" i="1" s="1"/>
  <c r="I844" i="1" s="1"/>
  <c r="E845" i="1"/>
  <c r="G845" i="1" s="1"/>
  <c r="E846" i="1"/>
  <c r="G846" i="1" s="1"/>
  <c r="H846" i="1"/>
  <c r="I846" i="1" s="1"/>
  <c r="E847" i="1"/>
  <c r="G847" i="1"/>
  <c r="E848" i="1"/>
  <c r="G848" i="1"/>
  <c r="H848" i="1" s="1"/>
  <c r="I848" i="1" s="1"/>
  <c r="E849" i="1"/>
  <c r="G849" i="1" s="1"/>
  <c r="H849" i="1" s="1"/>
  <c r="I849" i="1"/>
  <c r="E850" i="1"/>
  <c r="G850" i="1" s="1"/>
  <c r="H850" i="1"/>
  <c r="I850" i="1"/>
  <c r="E851" i="1"/>
  <c r="G851" i="1"/>
  <c r="H851" i="1"/>
  <c r="I851" i="1" s="1"/>
  <c r="E852" i="1"/>
  <c r="G852" i="1"/>
  <c r="H852" i="1" s="1"/>
  <c r="I852" i="1" s="1"/>
  <c r="E853" i="1"/>
  <c r="G853" i="1"/>
  <c r="E854" i="1"/>
  <c r="G854" i="1"/>
  <c r="H854" i="1"/>
  <c r="I854" i="1"/>
  <c r="E855" i="1"/>
  <c r="G855" i="1"/>
  <c r="E856" i="1"/>
  <c r="G856" i="1"/>
  <c r="H856" i="1"/>
  <c r="I856" i="1"/>
  <c r="E857" i="1"/>
  <c r="G857" i="1" s="1"/>
  <c r="E858" i="1"/>
  <c r="G858" i="1" s="1"/>
  <c r="H858" i="1"/>
  <c r="I858" i="1"/>
  <c r="E859" i="1"/>
  <c r="G859" i="1"/>
  <c r="E860" i="1"/>
  <c r="G860" i="1"/>
  <c r="H860" i="1"/>
  <c r="I860" i="1" s="1"/>
  <c r="E861" i="1"/>
  <c r="G861" i="1"/>
  <c r="H861" i="1" s="1"/>
  <c r="I861" i="1"/>
  <c r="E862" i="1"/>
  <c r="G862" i="1" s="1"/>
  <c r="H862" i="1"/>
  <c r="I862" i="1"/>
  <c r="E863" i="1"/>
  <c r="G863" i="1"/>
  <c r="H863" i="1" s="1"/>
  <c r="I863" i="1"/>
  <c r="E864" i="1"/>
  <c r="G864" i="1" s="1"/>
  <c r="E865" i="1"/>
  <c r="G865" i="1" s="1"/>
  <c r="E866" i="1"/>
  <c r="G866" i="1"/>
  <c r="H866" i="1"/>
  <c r="I866" i="1"/>
  <c r="E867" i="1"/>
  <c r="G867" i="1"/>
  <c r="H867" i="1"/>
  <c r="I867" i="1"/>
  <c r="E868" i="1"/>
  <c r="G868" i="1"/>
  <c r="H868" i="1"/>
  <c r="I868" i="1" s="1"/>
  <c r="E869" i="1"/>
  <c r="G869" i="1"/>
  <c r="H869" i="1"/>
  <c r="I869" i="1"/>
  <c r="E870" i="1"/>
  <c r="G870" i="1"/>
  <c r="H870" i="1" s="1"/>
  <c r="I870" i="1"/>
  <c r="E871" i="1"/>
  <c r="G871" i="1" s="1"/>
  <c r="E872" i="1"/>
  <c r="G872" i="1"/>
  <c r="H872" i="1"/>
  <c r="I872" i="1"/>
  <c r="E873" i="1"/>
  <c r="G873" i="1"/>
  <c r="H873" i="1"/>
  <c r="I873" i="1"/>
  <c r="E874" i="1"/>
  <c r="G874" i="1" s="1"/>
  <c r="H874" i="1"/>
  <c r="I874" i="1"/>
  <c r="E875" i="1"/>
  <c r="G875" i="1"/>
  <c r="E876" i="1"/>
  <c r="G876" i="1"/>
  <c r="E877" i="1"/>
  <c r="G877" i="1"/>
  <c r="E878" i="1"/>
  <c r="G878" i="1" s="1"/>
  <c r="E879" i="1"/>
  <c r="G879" i="1" s="1"/>
  <c r="E880" i="1"/>
  <c r="G880" i="1"/>
  <c r="E881" i="1"/>
  <c r="G881" i="1" s="1"/>
  <c r="H881" i="1" s="1"/>
  <c r="I881" i="1"/>
  <c r="E882" i="1"/>
  <c r="G882" i="1" s="1"/>
  <c r="H882" i="1"/>
  <c r="I882" i="1"/>
  <c r="E883" i="1"/>
  <c r="G883" i="1" s="1"/>
  <c r="E884" i="1"/>
  <c r="G884" i="1"/>
  <c r="E885" i="1"/>
  <c r="G885" i="1"/>
  <c r="H885" i="1"/>
  <c r="I885" i="1" s="1"/>
  <c r="E886" i="1"/>
  <c r="G886" i="1" s="1"/>
  <c r="E887" i="1"/>
  <c r="G887" i="1"/>
  <c r="E888" i="1"/>
  <c r="G888" i="1"/>
  <c r="H888" i="1"/>
  <c r="I888" i="1"/>
  <c r="E889" i="1"/>
  <c r="G889" i="1"/>
  <c r="E890" i="1"/>
  <c r="G890" i="1" s="1"/>
  <c r="H890" i="1" s="1"/>
  <c r="I890" i="1" s="1"/>
  <c r="E891" i="1"/>
  <c r="G891" i="1" s="1"/>
  <c r="E892" i="1"/>
  <c r="G892" i="1"/>
  <c r="H892" i="1"/>
  <c r="I892" i="1" s="1"/>
  <c r="E893" i="1"/>
  <c r="G893" i="1"/>
  <c r="H893" i="1" s="1"/>
  <c r="I893" i="1"/>
  <c r="E894" i="1"/>
  <c r="G894" i="1" s="1"/>
  <c r="H894" i="1"/>
  <c r="I894" i="1"/>
  <c r="E895" i="1"/>
  <c r="G895" i="1" s="1"/>
  <c r="E896" i="1"/>
  <c r="G896" i="1" s="1"/>
  <c r="H896" i="1"/>
  <c r="I896" i="1" s="1"/>
  <c r="E897" i="1"/>
  <c r="G897" i="1"/>
  <c r="E898" i="1"/>
  <c r="G898" i="1" s="1"/>
  <c r="E899" i="1"/>
  <c r="G899" i="1" s="1"/>
  <c r="E900" i="1"/>
  <c r="G900" i="1"/>
  <c r="H900" i="1"/>
  <c r="I900" i="1"/>
  <c r="E901" i="1"/>
  <c r="G901" i="1" s="1"/>
  <c r="E902" i="1"/>
  <c r="G902" i="1" s="1"/>
  <c r="H902" i="1"/>
  <c r="I902" i="1" s="1"/>
  <c r="E903" i="1"/>
  <c r="G903" i="1" s="1"/>
  <c r="H903" i="1"/>
  <c r="I903" i="1"/>
  <c r="E904" i="1"/>
  <c r="G904" i="1"/>
  <c r="H904" i="1"/>
  <c r="I904" i="1"/>
  <c r="E905" i="1"/>
  <c r="G905" i="1"/>
  <c r="E906" i="1"/>
  <c r="G906" i="1" s="1"/>
  <c r="H906" i="1"/>
  <c r="I906" i="1" s="1"/>
  <c r="E907" i="1"/>
  <c r="G907" i="1"/>
  <c r="H907" i="1"/>
  <c r="I907" i="1" s="1"/>
  <c r="E908" i="1"/>
  <c r="G908" i="1"/>
  <c r="H908" i="1"/>
  <c r="I908" i="1" s="1"/>
  <c r="E909" i="1"/>
  <c r="G909" i="1" s="1"/>
  <c r="E910" i="1"/>
  <c r="G910" i="1"/>
  <c r="E911" i="1"/>
  <c r="G911" i="1"/>
  <c r="E912" i="1"/>
  <c r="G912" i="1"/>
  <c r="E913" i="1"/>
  <c r="G913" i="1" s="1"/>
  <c r="E914" i="1"/>
  <c r="G914" i="1"/>
  <c r="H914" i="1" s="1"/>
  <c r="I914" i="1" s="1"/>
  <c r="E915" i="1"/>
  <c r="G915" i="1" s="1"/>
  <c r="E916" i="1"/>
  <c r="G916" i="1"/>
  <c r="E917" i="1"/>
  <c r="G917" i="1"/>
  <c r="H917" i="1"/>
  <c r="I917" i="1"/>
  <c r="E918" i="1"/>
  <c r="G918" i="1"/>
  <c r="H918" i="1"/>
  <c r="I918" i="1" s="1"/>
  <c r="E919" i="1"/>
  <c r="G919" i="1" s="1"/>
  <c r="H919" i="1"/>
  <c r="I919" i="1"/>
  <c r="E920" i="1"/>
  <c r="G920" i="1"/>
  <c r="H920" i="1"/>
  <c r="I920" i="1"/>
  <c r="E921" i="1"/>
  <c r="G921" i="1"/>
  <c r="H921" i="1"/>
  <c r="I921" i="1" s="1"/>
  <c r="E922" i="1"/>
  <c r="G922" i="1" s="1"/>
  <c r="H922" i="1"/>
  <c r="I922" i="1" s="1"/>
  <c r="E923" i="1"/>
  <c r="G923" i="1"/>
  <c r="H923" i="1" s="1"/>
  <c r="I923" i="1"/>
  <c r="E924" i="1"/>
  <c r="G924" i="1"/>
  <c r="H924" i="1"/>
  <c r="I924" i="1"/>
  <c r="E925" i="1"/>
  <c r="G925" i="1"/>
  <c r="H925" i="1" s="1"/>
  <c r="I925" i="1" s="1"/>
  <c r="E926" i="1"/>
  <c r="G926" i="1"/>
  <c r="H926" i="1"/>
  <c r="I926" i="1" s="1"/>
  <c r="E927" i="1"/>
  <c r="G927" i="1"/>
  <c r="H927" i="1"/>
  <c r="I927" i="1"/>
  <c r="E928" i="1"/>
  <c r="G928" i="1"/>
  <c r="E929" i="1"/>
  <c r="G929" i="1" s="1"/>
  <c r="H929" i="1" s="1"/>
  <c r="I929" i="1" s="1"/>
  <c r="E930" i="1"/>
  <c r="G930" i="1" s="1"/>
  <c r="H930" i="1" s="1"/>
  <c r="I930" i="1" s="1"/>
  <c r="E931" i="1"/>
  <c r="G931" i="1"/>
  <c r="H931" i="1"/>
  <c r="I931" i="1"/>
  <c r="E932" i="1"/>
  <c r="G932" i="1"/>
  <c r="H932" i="1"/>
  <c r="I932" i="1" s="1"/>
  <c r="E933" i="1"/>
  <c r="G933" i="1" s="1"/>
  <c r="E934" i="1"/>
  <c r="G934" i="1"/>
  <c r="H934" i="1"/>
  <c r="I934" i="1"/>
  <c r="E935" i="1"/>
  <c r="G935" i="1"/>
  <c r="E936" i="1"/>
  <c r="G936" i="1"/>
  <c r="H936" i="1"/>
  <c r="I936" i="1"/>
  <c r="E937" i="1"/>
  <c r="G937" i="1"/>
  <c r="H937" i="1"/>
  <c r="I937" i="1" s="1"/>
  <c r="E938" i="1"/>
  <c r="G938" i="1" s="1"/>
  <c r="H938" i="1"/>
  <c r="I938" i="1"/>
  <c r="E939" i="1"/>
  <c r="G939" i="1"/>
  <c r="H939" i="1" s="1"/>
  <c r="I939" i="1" s="1"/>
  <c r="E940" i="1"/>
  <c r="G940" i="1" s="1"/>
  <c r="H940" i="1"/>
  <c r="I940" i="1" s="1"/>
  <c r="E941" i="1"/>
  <c r="G941" i="1"/>
  <c r="H941" i="1" s="1"/>
  <c r="I941" i="1" s="1"/>
  <c r="E942" i="1"/>
  <c r="G942" i="1"/>
  <c r="H942" i="1"/>
  <c r="I942" i="1"/>
  <c r="E943" i="1"/>
  <c r="G943" i="1"/>
  <c r="H943" i="1"/>
  <c r="I943" i="1" s="1"/>
  <c r="E944" i="1"/>
  <c r="G944" i="1" s="1"/>
  <c r="H944" i="1" s="1"/>
  <c r="I944" i="1" s="1"/>
  <c r="E945" i="1"/>
  <c r="G945" i="1" s="1"/>
  <c r="E946" i="1"/>
  <c r="G946" i="1" s="1"/>
  <c r="H946" i="1"/>
  <c r="I946" i="1"/>
  <c r="E947" i="1"/>
  <c r="G947" i="1" s="1"/>
  <c r="E948" i="1"/>
  <c r="G948" i="1"/>
  <c r="H948" i="1"/>
  <c r="I948" i="1"/>
  <c r="E949" i="1"/>
  <c r="G949" i="1"/>
  <c r="H949" i="1" s="1"/>
  <c r="I949" i="1"/>
  <c r="E950" i="1"/>
  <c r="G950" i="1" s="1"/>
  <c r="H950" i="1"/>
  <c r="I950" i="1"/>
  <c r="E951" i="1"/>
  <c r="G951" i="1"/>
  <c r="E952" i="1"/>
  <c r="G952" i="1"/>
  <c r="H952" i="1"/>
  <c r="I952" i="1" s="1"/>
  <c r="E953" i="1"/>
  <c r="G953" i="1"/>
  <c r="H953" i="1"/>
  <c r="I953" i="1" s="1"/>
  <c r="E954" i="1"/>
  <c r="G954" i="1" s="1"/>
  <c r="H954" i="1" s="1"/>
  <c r="I954" i="1" s="1"/>
  <c r="E955" i="1"/>
  <c r="G955" i="1"/>
  <c r="H955" i="1" s="1"/>
  <c r="I955" i="1" s="1"/>
  <c r="E956" i="1"/>
  <c r="G956" i="1" s="1"/>
  <c r="H956" i="1" s="1"/>
  <c r="I956" i="1" s="1"/>
  <c r="E957" i="1"/>
  <c r="G957" i="1"/>
  <c r="E958" i="1"/>
  <c r="G958" i="1"/>
  <c r="H958" i="1"/>
  <c r="I958" i="1"/>
  <c r="E959" i="1"/>
  <c r="G959" i="1" s="1"/>
  <c r="H959" i="1" s="1"/>
  <c r="I959" i="1" s="1"/>
  <c r="E960" i="1"/>
  <c r="G960" i="1" s="1"/>
  <c r="E961" i="1"/>
  <c r="G961" i="1"/>
  <c r="H961" i="1"/>
  <c r="I961" i="1"/>
  <c r="E962" i="1"/>
  <c r="G962" i="1"/>
  <c r="H962" i="1"/>
  <c r="I962" i="1" s="1"/>
  <c r="E963" i="1"/>
  <c r="G963" i="1"/>
  <c r="H963" i="1"/>
  <c r="I963" i="1"/>
  <c r="E964" i="1"/>
  <c r="G964" i="1"/>
  <c r="H964" i="1"/>
  <c r="I964" i="1"/>
  <c r="E965" i="1"/>
  <c r="G965" i="1"/>
  <c r="H965" i="1" s="1"/>
  <c r="I965" i="1" s="1"/>
  <c r="E966" i="1"/>
  <c r="G966" i="1" s="1"/>
  <c r="H966" i="1" s="1"/>
  <c r="I966" i="1" s="1"/>
  <c r="E967" i="1"/>
  <c r="G967" i="1" s="1"/>
  <c r="E968" i="1"/>
  <c r="G968" i="1"/>
  <c r="H968" i="1"/>
  <c r="I968" i="1"/>
  <c r="E969" i="1"/>
  <c r="G969" i="1"/>
  <c r="H969" i="1" s="1"/>
  <c r="I969" i="1"/>
  <c r="E970" i="1"/>
  <c r="G970" i="1"/>
  <c r="H970" i="1"/>
  <c r="I970" i="1" s="1"/>
  <c r="E971" i="1"/>
  <c r="G971" i="1"/>
  <c r="H971" i="1"/>
  <c r="I971" i="1" s="1"/>
  <c r="E972" i="1"/>
  <c r="G972" i="1"/>
  <c r="H972" i="1"/>
  <c r="I972" i="1" s="1"/>
  <c r="E973" i="1"/>
  <c r="G973" i="1" s="1"/>
  <c r="H973" i="1" s="1"/>
  <c r="I973" i="1" s="1"/>
  <c r="E974" i="1"/>
  <c r="G974" i="1"/>
  <c r="H974" i="1" s="1"/>
  <c r="I974" i="1"/>
  <c r="E975" i="1"/>
  <c r="G975" i="1" s="1"/>
  <c r="E976" i="1"/>
  <c r="G976" i="1"/>
  <c r="H976" i="1" s="1"/>
  <c r="I976" i="1" s="1"/>
  <c r="E977" i="1"/>
  <c r="G977" i="1" s="1"/>
  <c r="E978" i="1"/>
  <c r="G978" i="1"/>
  <c r="E979" i="1"/>
  <c r="G979" i="1"/>
  <c r="H979" i="1"/>
  <c r="I979" i="1"/>
  <c r="E980" i="1"/>
  <c r="G980" i="1"/>
  <c r="H980" i="1"/>
  <c r="I980" i="1" s="1"/>
  <c r="E981" i="1"/>
  <c r="G981" i="1"/>
  <c r="H981" i="1"/>
  <c r="I981" i="1" s="1"/>
  <c r="E982" i="1"/>
  <c r="G982" i="1" s="1"/>
  <c r="H982" i="1"/>
  <c r="I982" i="1" s="1"/>
  <c r="E983" i="1"/>
  <c r="G983" i="1" s="1"/>
  <c r="H983" i="1" s="1"/>
  <c r="I983" i="1" s="1"/>
  <c r="E984" i="1"/>
  <c r="G984" i="1"/>
  <c r="H984" i="1"/>
  <c r="I984" i="1"/>
  <c r="E985" i="1"/>
  <c r="G985" i="1"/>
  <c r="H985" i="1" s="1"/>
  <c r="I985" i="1" s="1"/>
  <c r="E986" i="1"/>
  <c r="G986" i="1"/>
  <c r="H986" i="1"/>
  <c r="I986" i="1" s="1"/>
  <c r="E987" i="1"/>
  <c r="G987" i="1"/>
  <c r="E988" i="1"/>
  <c r="G988" i="1"/>
  <c r="H988" i="1"/>
  <c r="I988" i="1" s="1"/>
  <c r="E989" i="1"/>
  <c r="G989" i="1" s="1"/>
  <c r="E990" i="1"/>
  <c r="G990" i="1" s="1"/>
  <c r="E991" i="1"/>
  <c r="G991" i="1"/>
  <c r="H991" i="1"/>
  <c r="I991" i="1"/>
  <c r="E992" i="1"/>
  <c r="G992" i="1"/>
  <c r="H992" i="1"/>
  <c r="I992" i="1"/>
  <c r="E993" i="1"/>
  <c r="G993" i="1" s="1"/>
  <c r="H993" i="1" s="1"/>
  <c r="I993" i="1" s="1"/>
  <c r="E994" i="1"/>
  <c r="G994" i="1"/>
  <c r="H994" i="1"/>
  <c r="I994" i="1"/>
  <c r="E995" i="1"/>
  <c r="G995" i="1"/>
  <c r="E996" i="1"/>
  <c r="G996" i="1" s="1"/>
  <c r="E997" i="1"/>
  <c r="G997" i="1"/>
  <c r="E998" i="1"/>
  <c r="G998" i="1" s="1"/>
  <c r="H998" i="1"/>
  <c r="I998" i="1"/>
  <c r="E999" i="1"/>
  <c r="G999" i="1"/>
  <c r="H999" i="1"/>
  <c r="I999" i="1" s="1"/>
  <c r="E1000" i="1"/>
  <c r="G1000" i="1" s="1"/>
  <c r="E1001" i="1"/>
  <c r="G1001" i="1"/>
  <c r="H1001" i="1" s="1"/>
  <c r="I1001" i="1"/>
  <c r="E1002" i="1"/>
  <c r="G1002" i="1"/>
  <c r="H1002" i="1"/>
  <c r="I1002" i="1"/>
  <c r="E1003" i="1"/>
  <c r="G1003" i="1"/>
  <c r="H1003" i="1" s="1"/>
  <c r="I1003" i="1" s="1"/>
  <c r="E1004" i="1"/>
  <c r="G1004" i="1" s="1"/>
  <c r="E1005" i="1"/>
  <c r="G1005" i="1"/>
  <c r="H1005" i="1"/>
  <c r="I1005" i="1"/>
  <c r="E1006" i="1"/>
  <c r="G1006" i="1"/>
  <c r="H1006" i="1"/>
  <c r="I1006" i="1"/>
  <c r="E1007" i="1"/>
  <c r="G1007" i="1"/>
  <c r="H1007" i="1"/>
  <c r="I1007" i="1" s="1"/>
  <c r="E1008" i="1"/>
  <c r="G1008" i="1"/>
  <c r="H1008" i="1"/>
  <c r="I1008" i="1" s="1"/>
  <c r="E1009" i="1"/>
  <c r="G1009" i="1"/>
  <c r="H1009" i="1"/>
  <c r="I1009" i="1"/>
  <c r="E1010" i="1"/>
  <c r="G1010" i="1" s="1"/>
  <c r="E1011" i="1"/>
  <c r="G1011" i="1"/>
  <c r="H1011" i="1"/>
  <c r="I1011" i="1"/>
  <c r="E1012" i="1"/>
  <c r="G1012" i="1" s="1"/>
  <c r="E1013" i="1"/>
  <c r="G1013" i="1"/>
  <c r="H1013" i="1" s="1"/>
  <c r="I1013" i="1" s="1"/>
  <c r="E1014" i="1"/>
  <c r="G1014" i="1" s="1"/>
  <c r="E1015" i="1"/>
  <c r="G1015" i="1" s="1"/>
  <c r="E1016" i="1"/>
  <c r="G1016" i="1"/>
  <c r="H1016" i="1" s="1"/>
  <c r="I1016" i="1" s="1"/>
  <c r="E1017" i="1"/>
  <c r="G1017" i="1"/>
  <c r="E1018" i="1"/>
  <c r="G1018" i="1"/>
  <c r="E1019" i="1"/>
  <c r="G1019" i="1" s="1"/>
  <c r="E1020" i="1"/>
  <c r="G1020" i="1"/>
  <c r="H1020" i="1"/>
  <c r="I1020" i="1" s="1"/>
  <c r="E1021" i="1"/>
  <c r="G1021" i="1"/>
  <c r="H1021" i="1"/>
  <c r="I1021" i="1"/>
  <c r="E1022" i="1"/>
  <c r="G1022" i="1"/>
  <c r="H1022" i="1"/>
  <c r="I1022" i="1"/>
  <c r="E1023" i="1"/>
  <c r="G1023" i="1" s="1"/>
  <c r="E1024" i="1"/>
  <c r="G1024" i="1"/>
  <c r="H1024" i="1"/>
  <c r="I1024" i="1"/>
  <c r="E1025" i="1"/>
  <c r="G1025" i="1" s="1"/>
  <c r="E1026" i="1"/>
  <c r="G1026" i="1" s="1"/>
  <c r="H1026" i="1" s="1"/>
  <c r="I1026" i="1" s="1"/>
  <c r="E1027" i="1"/>
  <c r="G1027" i="1"/>
  <c r="H1027" i="1"/>
  <c r="I1027" i="1"/>
  <c r="E1028" i="1"/>
  <c r="G1028" i="1"/>
  <c r="H1028" i="1"/>
  <c r="I1028" i="1"/>
  <c r="E1029" i="1"/>
  <c r="G1029" i="1" s="1"/>
  <c r="E1030" i="1"/>
  <c r="G1030" i="1" s="1"/>
  <c r="E1031" i="1"/>
  <c r="G1031" i="1"/>
  <c r="H1031" i="1"/>
  <c r="I1031" i="1" s="1"/>
  <c r="E1032" i="1"/>
  <c r="G1032" i="1"/>
  <c r="E1033" i="1"/>
  <c r="G1033" i="1"/>
  <c r="E1034" i="1"/>
  <c r="G1034" i="1"/>
  <c r="H1034" i="1" s="1"/>
  <c r="I1034" i="1" s="1"/>
  <c r="E1035" i="1"/>
  <c r="G1035" i="1"/>
  <c r="H1035" i="1"/>
  <c r="I1035" i="1" s="1"/>
  <c r="E1036" i="1"/>
  <c r="G1036" i="1"/>
  <c r="H1036" i="1"/>
  <c r="I1036" i="1" s="1"/>
  <c r="E1037" i="1"/>
  <c r="G1037" i="1"/>
  <c r="H1037" i="1"/>
  <c r="I1037" i="1"/>
  <c r="E1038" i="1"/>
  <c r="G1038" i="1" s="1"/>
  <c r="E1039" i="1"/>
  <c r="G1039" i="1" s="1"/>
  <c r="E1040" i="1"/>
  <c r="G1040" i="1"/>
  <c r="H1040" i="1"/>
  <c r="I1040" i="1"/>
  <c r="E1041" i="1"/>
  <c r="G1041" i="1" s="1"/>
  <c r="E1042" i="1"/>
  <c r="G1042" i="1" s="1"/>
  <c r="H1042" i="1" s="1"/>
  <c r="I1042" i="1" s="1"/>
  <c r="E1043" i="1"/>
  <c r="G1043" i="1"/>
  <c r="H1043" i="1"/>
  <c r="I1043" i="1"/>
  <c r="E1044" i="1"/>
  <c r="G1044" i="1"/>
  <c r="E1045" i="1"/>
  <c r="G1045" i="1" s="1"/>
  <c r="I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" i="3"/>
  <c r="F2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" i="2"/>
  <c r="E2" i="1"/>
  <c r="G2" i="1" s="1"/>
  <c r="H2" i="1" s="1"/>
  <c r="F77" i="1" l="1"/>
  <c r="F1044" i="1"/>
  <c r="F1035" i="1"/>
  <c r="F1021" i="1"/>
  <c r="F983" i="1"/>
  <c r="F964" i="1"/>
  <c r="F938" i="1"/>
  <c r="F918" i="1"/>
  <c r="F903" i="1"/>
  <c r="F892" i="1"/>
  <c r="F875" i="1"/>
  <c r="F872" i="1"/>
  <c r="F859" i="1"/>
  <c r="F855" i="1"/>
  <c r="F842" i="1"/>
  <c r="F832" i="1"/>
  <c r="F827" i="1"/>
  <c r="F823" i="1"/>
  <c r="F778" i="1"/>
  <c r="F738" i="1"/>
  <c r="F704" i="1"/>
  <c r="F695" i="1"/>
  <c r="F687" i="1"/>
  <c r="F653" i="1"/>
  <c r="F645" i="1"/>
  <c r="F639" i="1"/>
  <c r="F629" i="1"/>
  <c r="F597" i="1"/>
  <c r="F566" i="1"/>
  <c r="F561" i="1"/>
  <c r="F536" i="1"/>
  <c r="F519" i="1"/>
  <c r="F502" i="1"/>
  <c r="F492" i="1"/>
  <c r="F487" i="1"/>
  <c r="F453" i="1"/>
  <c r="F446" i="1"/>
  <c r="F425" i="1"/>
  <c r="F419" i="1"/>
  <c r="F390" i="1"/>
  <c r="F351" i="1"/>
  <c r="F324" i="1"/>
  <c r="F311" i="1"/>
  <c r="F274" i="1"/>
  <c r="F221" i="1"/>
  <c r="F205" i="1"/>
  <c r="F160" i="1"/>
  <c r="F145" i="1"/>
  <c r="F141" i="1"/>
  <c r="F102" i="1"/>
  <c r="F97" i="1"/>
  <c r="F92" i="1"/>
  <c r="F82" i="1"/>
  <c r="F72" i="1"/>
  <c r="F55" i="1"/>
  <c r="F12" i="1"/>
  <c r="F1009" i="1"/>
  <c r="F997" i="1"/>
  <c r="F987" i="1"/>
  <c r="F979" i="1"/>
  <c r="F942" i="1"/>
  <c r="F934" i="1"/>
  <c r="F929" i="1"/>
  <c r="F846" i="1"/>
  <c r="F815" i="1"/>
  <c r="F790" i="1"/>
  <c r="F782" i="1"/>
  <c r="F772" i="1"/>
  <c r="F747" i="1"/>
  <c r="F732" i="1"/>
  <c r="F717" i="1"/>
  <c r="F709" i="1"/>
  <c r="F691" i="1"/>
  <c r="F676" i="1"/>
  <c r="F649" i="1"/>
  <c r="F619" i="1"/>
  <c r="F613" i="1"/>
  <c r="F607" i="1"/>
  <c r="F547" i="1"/>
  <c r="F542" i="1"/>
  <c r="F475" i="1"/>
  <c r="F469" i="1"/>
  <c r="F439" i="1"/>
  <c r="F414" i="1"/>
  <c r="F409" i="1"/>
  <c r="F398" i="1"/>
  <c r="F382" i="1"/>
  <c r="F377" i="1"/>
  <c r="F373" i="1"/>
  <c r="F340" i="1"/>
  <c r="F305" i="1"/>
  <c r="F295" i="1"/>
  <c r="F269" i="1"/>
  <c r="F263" i="1"/>
  <c r="F259" i="1"/>
  <c r="F255" i="1"/>
  <c r="F244" i="1"/>
  <c r="F229" i="1"/>
  <c r="F216" i="1"/>
  <c r="F199" i="1"/>
  <c r="F184" i="1"/>
  <c r="F164" i="1"/>
  <c r="F154" i="1"/>
  <c r="F150" i="1"/>
  <c r="F76" i="1"/>
  <c r="F71" i="1"/>
  <c r="F45" i="1"/>
  <c r="F1024" i="1"/>
  <c r="F992" i="1"/>
  <c r="F972" i="1"/>
  <c r="F954" i="1"/>
  <c r="F950" i="1"/>
  <c r="F946" i="1"/>
  <c r="F921" i="1"/>
  <c r="F911" i="1"/>
  <c r="F906" i="1"/>
  <c r="F902" i="1"/>
  <c r="F896" i="1"/>
  <c r="F881" i="1"/>
  <c r="F822" i="1"/>
  <c r="F810" i="1"/>
  <c r="F800" i="1"/>
  <c r="F786" i="1"/>
  <c r="F766" i="1"/>
  <c r="F762" i="1"/>
  <c r="F754" i="1"/>
  <c r="F728" i="1"/>
  <c r="F713" i="1"/>
  <c r="F661" i="1"/>
  <c r="F652" i="1"/>
  <c r="F634" i="1"/>
  <c r="F623" i="1"/>
  <c r="F601" i="1"/>
  <c r="F565" i="1"/>
  <c r="F555" i="1"/>
  <c r="F552" i="1"/>
  <c r="F529" i="1"/>
  <c r="F501" i="1"/>
  <c r="F451" i="1"/>
  <c r="F394" i="1"/>
  <c r="F389" i="1"/>
  <c r="F357" i="1"/>
  <c r="F319" i="1"/>
  <c r="F315" i="1"/>
  <c r="F299" i="1"/>
  <c r="F290" i="1"/>
  <c r="F286" i="1"/>
  <c r="F281" i="1"/>
  <c r="F277" i="1"/>
  <c r="F249" i="1"/>
  <c r="F234" i="1"/>
  <c r="F225" i="1"/>
  <c r="F189" i="1"/>
  <c r="F179" i="1"/>
  <c r="F174" i="1"/>
  <c r="F153" i="1"/>
  <c r="F112" i="1"/>
  <c r="F107" i="1"/>
  <c r="F101" i="1"/>
  <c r="F65" i="1"/>
  <c r="F38" i="1"/>
  <c r="F26" i="1"/>
  <c r="F22" i="1"/>
  <c r="F16" i="1"/>
  <c r="F1020" i="1"/>
  <c r="F1013" i="1"/>
  <c r="F982" i="1"/>
  <c r="F978" i="1"/>
  <c r="F968" i="1"/>
  <c r="F937" i="1"/>
  <c r="F928" i="1"/>
  <c r="F890" i="1"/>
  <c r="F867" i="1"/>
  <c r="F850" i="1"/>
  <c r="F841" i="1"/>
  <c r="F836" i="1"/>
  <c r="F818" i="1"/>
  <c r="F793" i="1"/>
  <c r="F699" i="1"/>
  <c r="F665" i="1"/>
  <c r="F618" i="1"/>
  <c r="F586" i="1"/>
  <c r="F581" i="1"/>
  <c r="F535" i="1"/>
  <c r="F518" i="1"/>
  <c r="F511" i="1"/>
  <c r="F445" i="1"/>
  <c r="F403" i="1"/>
  <c r="F397" i="1"/>
  <c r="F376" i="1"/>
  <c r="F361" i="1"/>
  <c r="F350" i="1"/>
  <c r="F333" i="1"/>
  <c r="F327" i="1"/>
  <c r="F323" i="1"/>
  <c r="F273" i="1"/>
  <c r="F240" i="1"/>
  <c r="F220" i="1"/>
  <c r="F210" i="1"/>
  <c r="F198" i="1"/>
  <c r="F188" i="1"/>
  <c r="F144" i="1"/>
  <c r="F117" i="1"/>
  <c r="F86" i="1"/>
  <c r="F81" i="1"/>
  <c r="F44" i="1"/>
  <c r="F6" i="1"/>
  <c r="F1043" i="1"/>
  <c r="F1033" i="1"/>
  <c r="F1028" i="1"/>
  <c r="F1008" i="1"/>
  <c r="F1005" i="1"/>
  <c r="F995" i="1"/>
  <c r="F986" i="1"/>
  <c r="F963" i="1"/>
  <c r="F917" i="1"/>
  <c r="F910" i="1"/>
  <c r="F905" i="1"/>
  <c r="F885" i="1"/>
  <c r="F880" i="1"/>
  <c r="F874" i="1"/>
  <c r="F862" i="1"/>
  <c r="F858" i="1"/>
  <c r="F854" i="1"/>
  <c r="F826" i="1"/>
  <c r="F814" i="1"/>
  <c r="F789" i="1"/>
  <c r="F758" i="1"/>
  <c r="F746" i="1"/>
  <c r="F741" i="1"/>
  <c r="F737" i="1"/>
  <c r="F731" i="1"/>
  <c r="F727" i="1"/>
  <c r="F708" i="1"/>
  <c r="F703" i="1"/>
  <c r="F680" i="1"/>
  <c r="F668" i="1"/>
  <c r="F622" i="1"/>
  <c r="F611" i="1"/>
  <c r="F546" i="1"/>
  <c r="F523" i="1"/>
  <c r="F505" i="1"/>
  <c r="F491" i="1"/>
  <c r="F461" i="1"/>
  <c r="F457" i="1"/>
  <c r="F450" i="1"/>
  <c r="F432" i="1"/>
  <c r="F428" i="1"/>
  <c r="F417" i="1"/>
  <c r="F413" i="1"/>
  <c r="F393" i="1"/>
  <c r="F387" i="1"/>
  <c r="F345" i="1"/>
  <c r="F339" i="1"/>
  <c r="F314" i="1"/>
  <c r="F285" i="1"/>
  <c r="F228" i="1"/>
  <c r="F163" i="1"/>
  <c r="F148" i="1"/>
  <c r="F134" i="1"/>
  <c r="F122" i="1"/>
  <c r="F69" i="1"/>
  <c r="F58" i="1"/>
  <c r="F54" i="1"/>
  <c r="F31" i="1"/>
  <c r="F21" i="1"/>
  <c r="F1037" i="1"/>
  <c r="F971" i="1"/>
  <c r="F953" i="1"/>
  <c r="F944" i="1"/>
  <c r="F932" i="1"/>
  <c r="F924" i="1"/>
  <c r="F889" i="1"/>
  <c r="F830" i="1"/>
  <c r="F776" i="1"/>
  <c r="F770" i="1"/>
  <c r="F721" i="1"/>
  <c r="F716" i="1"/>
  <c r="F712" i="1"/>
  <c r="F698" i="1"/>
  <c r="F690" i="1"/>
  <c r="F674" i="1"/>
  <c r="F664" i="1"/>
  <c r="F651" i="1"/>
  <c r="F648" i="1"/>
  <c r="F627" i="1"/>
  <c r="F605" i="1"/>
  <c r="F589" i="1"/>
  <c r="F585" i="1"/>
  <c r="F558" i="1"/>
  <c r="F554" i="1"/>
  <c r="F551" i="1"/>
  <c r="F539" i="1"/>
  <c r="F528" i="1"/>
  <c r="F510" i="1"/>
  <c r="F485" i="1"/>
  <c r="F479" i="1"/>
  <c r="F423" i="1"/>
  <c r="F407" i="1"/>
  <c r="F381" i="1"/>
  <c r="F355" i="1"/>
  <c r="F344" i="1"/>
  <c r="F318" i="1"/>
  <c r="F293" i="1"/>
  <c r="F289" i="1"/>
  <c r="F276" i="1"/>
  <c r="F257" i="1"/>
  <c r="F209" i="1"/>
  <c r="F197" i="1"/>
  <c r="F192" i="1"/>
  <c r="F183" i="1"/>
  <c r="F173" i="1"/>
  <c r="F167" i="1"/>
  <c r="F158" i="1"/>
  <c r="F152" i="1"/>
  <c r="F128" i="1"/>
  <c r="F116" i="1"/>
  <c r="F105" i="1"/>
  <c r="F95" i="1"/>
  <c r="F85" i="1"/>
  <c r="F64" i="1"/>
  <c r="F48" i="1"/>
  <c r="F15" i="1"/>
  <c r="F1042" i="1"/>
  <c r="F1032" i="1"/>
  <c r="F1018" i="1"/>
  <c r="F991" i="1"/>
  <c r="F981" i="1"/>
  <c r="F966" i="1"/>
  <c r="F958" i="1"/>
  <c r="F940" i="1"/>
  <c r="F920" i="1"/>
  <c r="F916" i="1"/>
  <c r="F894" i="1"/>
  <c r="F884" i="1"/>
  <c r="F853" i="1"/>
  <c r="F849" i="1"/>
  <c r="F840" i="1"/>
  <c r="F835" i="1"/>
  <c r="F817" i="1"/>
  <c r="F813" i="1"/>
  <c r="F804" i="1"/>
  <c r="F780" i="1"/>
  <c r="F765" i="1"/>
  <c r="F761" i="1"/>
  <c r="F684" i="1"/>
  <c r="F655" i="1"/>
  <c r="F617" i="1"/>
  <c r="F599" i="1"/>
  <c r="F579" i="1"/>
  <c r="F575" i="1"/>
  <c r="F517" i="1"/>
  <c r="F494" i="1"/>
  <c r="F437" i="1"/>
  <c r="F375" i="1"/>
  <c r="F223" i="1"/>
  <c r="F219" i="1"/>
  <c r="F214" i="1"/>
  <c r="F177" i="1"/>
  <c r="F147" i="1"/>
  <c r="F138" i="1"/>
  <c r="F133" i="1"/>
  <c r="F110" i="1"/>
  <c r="F100" i="1"/>
  <c r="F80" i="1"/>
  <c r="F74" i="1"/>
  <c r="F57" i="1"/>
  <c r="F43" i="1"/>
  <c r="F36" i="1"/>
  <c r="F24" i="1"/>
  <c r="F5" i="1"/>
  <c r="F1007" i="1"/>
  <c r="F999" i="1"/>
  <c r="F962" i="1"/>
  <c r="F936" i="1"/>
  <c r="F927" i="1"/>
  <c r="F900" i="1"/>
  <c r="F878" i="1"/>
  <c r="F866" i="1"/>
  <c r="F820" i="1"/>
  <c r="F788" i="1"/>
  <c r="F784" i="1"/>
  <c r="F757" i="1"/>
  <c r="F730" i="1"/>
  <c r="F711" i="1"/>
  <c r="F706" i="1"/>
  <c r="F679" i="1"/>
  <c r="F673" i="1"/>
  <c r="F667" i="1"/>
  <c r="F659" i="1"/>
  <c r="F647" i="1"/>
  <c r="F593" i="1"/>
  <c r="F588" i="1"/>
  <c r="F568" i="1"/>
  <c r="F563" i="1"/>
  <c r="F557" i="1"/>
  <c r="F533" i="1"/>
  <c r="F527" i="1"/>
  <c r="F499" i="1"/>
  <c r="F478" i="1"/>
  <c r="F460" i="1"/>
  <c r="F431" i="1"/>
  <c r="F427" i="1"/>
  <c r="F396" i="1"/>
  <c r="F359" i="1"/>
  <c r="F348" i="1"/>
  <c r="F343" i="1"/>
  <c r="F326" i="1"/>
  <c r="F321" i="1"/>
  <c r="F313" i="1"/>
  <c r="F308" i="1"/>
  <c r="F279" i="1"/>
  <c r="F271" i="1"/>
  <c r="F261" i="1"/>
  <c r="F242" i="1"/>
  <c r="F231" i="1"/>
  <c r="F227" i="1"/>
  <c r="F201" i="1"/>
  <c r="F172" i="1"/>
  <c r="F162" i="1"/>
  <c r="F157" i="1"/>
  <c r="F121" i="1"/>
  <c r="F115" i="1"/>
  <c r="F89" i="1"/>
  <c r="F68" i="1"/>
  <c r="F1036" i="1"/>
  <c r="F1027" i="1"/>
  <c r="F1022" i="1"/>
  <c r="F1017" i="1"/>
  <c r="F1011" i="1"/>
  <c r="F994" i="1"/>
  <c r="F970" i="1"/>
  <c r="F952" i="1"/>
  <c r="F908" i="1"/>
  <c r="F904" i="1"/>
  <c r="F873" i="1"/>
  <c r="F869" i="1"/>
  <c r="F843" i="1"/>
  <c r="F828" i="1"/>
  <c r="F824" i="1"/>
  <c r="F808" i="1"/>
  <c r="F792" i="1"/>
  <c r="F745" i="1"/>
  <c r="F725" i="1"/>
  <c r="F702" i="1"/>
  <c r="F663" i="1"/>
  <c r="F650" i="1"/>
  <c r="F636" i="1"/>
  <c r="F609" i="1"/>
  <c r="F574" i="1"/>
  <c r="F550" i="1"/>
  <c r="F521" i="1"/>
  <c r="F515" i="1"/>
  <c r="F509" i="1"/>
  <c r="F489" i="1"/>
  <c r="F455" i="1"/>
  <c r="F411" i="1"/>
  <c r="F400" i="1"/>
  <c r="F379" i="1"/>
  <c r="F363" i="1"/>
  <c r="F353" i="1"/>
  <c r="F338" i="1"/>
  <c r="F301" i="1"/>
  <c r="F265" i="1"/>
  <c r="F251" i="1"/>
  <c r="F246" i="1"/>
  <c r="F237" i="1"/>
  <c r="F207" i="1"/>
  <c r="F191" i="1"/>
  <c r="F186" i="1"/>
  <c r="F166" i="1"/>
  <c r="F146" i="1"/>
  <c r="F142" i="1"/>
  <c r="F127" i="1"/>
  <c r="F99" i="1"/>
  <c r="F83" i="1"/>
  <c r="F79" i="1"/>
  <c r="F47" i="1"/>
  <c r="F35" i="1"/>
  <c r="F19" i="1"/>
  <c r="F8" i="1"/>
  <c r="F980" i="1"/>
  <c r="F948" i="1"/>
  <c r="F943" i="1"/>
  <c r="F935" i="1"/>
  <c r="F931" i="1"/>
  <c r="F833" i="1"/>
  <c r="F816" i="1"/>
  <c r="F802" i="1"/>
  <c r="F779" i="1"/>
  <c r="F764" i="1"/>
  <c r="F756" i="1"/>
  <c r="F715" i="1"/>
  <c r="F710" i="1"/>
  <c r="F705" i="1"/>
  <c r="F696" i="1"/>
  <c r="F692" i="1"/>
  <c r="F683" i="1"/>
  <c r="F677" i="1"/>
  <c r="F654" i="1"/>
  <c r="F631" i="1"/>
  <c r="F620" i="1"/>
  <c r="F603" i="1"/>
  <c r="F598" i="1"/>
  <c r="F584" i="1"/>
  <c r="F543" i="1"/>
  <c r="F508" i="1"/>
  <c r="F503" i="1"/>
  <c r="F493" i="1"/>
  <c r="F477" i="1"/>
  <c r="F471" i="1"/>
  <c r="F464" i="1"/>
  <c r="F436" i="1"/>
  <c r="F406" i="1"/>
  <c r="F391" i="1"/>
  <c r="F317" i="1"/>
  <c r="F307" i="1"/>
  <c r="F296" i="1"/>
  <c r="F283" i="1"/>
  <c r="F275" i="1"/>
  <c r="F256" i="1"/>
  <c r="F222" i="1"/>
  <c r="F181" i="1"/>
  <c r="F161" i="1"/>
  <c r="F131" i="1"/>
  <c r="F109" i="1"/>
  <c r="F88" i="1"/>
  <c r="F73" i="1"/>
  <c r="F56" i="1"/>
  <c r="F52" i="1"/>
  <c r="F29" i="1"/>
  <c r="F13" i="1"/>
  <c r="F1031" i="1"/>
  <c r="F993" i="1"/>
  <c r="F984" i="1"/>
  <c r="F956" i="1"/>
  <c r="F951" i="1"/>
  <c r="F926" i="1"/>
  <c r="F919" i="1"/>
  <c r="F888" i="1"/>
  <c r="F876" i="1"/>
  <c r="F860" i="1"/>
  <c r="F856" i="1"/>
  <c r="F847" i="1"/>
  <c r="F791" i="1"/>
  <c r="F787" i="1"/>
  <c r="F783" i="1"/>
  <c r="F773" i="1"/>
  <c r="F768" i="1"/>
  <c r="F729" i="1"/>
  <c r="F592" i="1"/>
  <c r="F567" i="1"/>
  <c r="F556" i="1"/>
  <c r="F553" i="1"/>
  <c r="F549" i="1"/>
  <c r="F531" i="1"/>
  <c r="F430" i="1"/>
  <c r="F421" i="1"/>
  <c r="F415" i="1"/>
  <c r="F395" i="1"/>
  <c r="F383" i="1"/>
  <c r="F374" i="1"/>
  <c r="F358" i="1"/>
  <c r="F347" i="1"/>
  <c r="F342" i="1"/>
  <c r="F325" i="1"/>
  <c r="F300" i="1"/>
  <c r="F270" i="1"/>
  <c r="F264" i="1"/>
  <c r="F245" i="1"/>
  <c r="F236" i="1"/>
  <c r="F226" i="1"/>
  <c r="F200" i="1"/>
  <c r="F195" i="1"/>
  <c r="F176" i="1"/>
  <c r="F165" i="1"/>
  <c r="F151" i="1"/>
  <c r="F136" i="1"/>
  <c r="F120" i="1"/>
  <c r="F113" i="1"/>
  <c r="F93" i="1"/>
  <c r="F67" i="1"/>
  <c r="F61" i="1"/>
  <c r="F46" i="1"/>
  <c r="F23" i="1"/>
  <c r="F3" i="1"/>
  <c r="F1040" i="1"/>
  <c r="F1006" i="1"/>
  <c r="F1002" i="1"/>
  <c r="F998" i="1"/>
  <c r="F988" i="1"/>
  <c r="F961" i="1"/>
  <c r="F930" i="1"/>
  <c r="F922" i="1"/>
  <c r="F907" i="1"/>
  <c r="F882" i="1"/>
  <c r="F868" i="1"/>
  <c r="F851" i="1"/>
  <c r="F819" i="1"/>
  <c r="F811" i="1"/>
  <c r="F796" i="1"/>
  <c r="F760" i="1"/>
  <c r="F755" i="1"/>
  <c r="F743" i="1"/>
  <c r="F724" i="1"/>
  <c r="F700" i="1"/>
  <c r="F682" i="1"/>
  <c r="F666" i="1"/>
  <c r="F658" i="1"/>
  <c r="F635" i="1"/>
  <c r="F624" i="1"/>
  <c r="F615" i="1"/>
  <c r="F587" i="1"/>
  <c r="F583" i="1"/>
  <c r="F577" i="1"/>
  <c r="F573" i="1"/>
  <c r="F525" i="1"/>
  <c r="F507" i="1"/>
  <c r="F497" i="1"/>
  <c r="F481" i="1"/>
  <c r="F470" i="1"/>
  <c r="F463" i="1"/>
  <c r="F459" i="1"/>
  <c r="F405" i="1"/>
  <c r="F399" i="1"/>
  <c r="F367" i="1"/>
  <c r="F362" i="1"/>
  <c r="F328" i="1"/>
  <c r="F320" i="1"/>
  <c r="F291" i="1"/>
  <c r="F287" i="1"/>
  <c r="F278" i="1"/>
  <c r="F250" i="1"/>
  <c r="F241" i="1"/>
  <c r="F230" i="1"/>
  <c r="F169" i="1"/>
  <c r="F155" i="1"/>
  <c r="F125" i="1"/>
  <c r="F108" i="1"/>
  <c r="F87" i="1"/>
  <c r="F39" i="1"/>
  <c r="F7" i="1"/>
  <c r="H1045" i="1"/>
  <c r="I1045" i="1" s="1"/>
  <c r="F1045" i="1"/>
  <c r="F1041" i="1"/>
  <c r="H1041" i="1"/>
  <c r="I1041" i="1" s="1"/>
  <c r="H1015" i="1"/>
  <c r="I1015" i="1" s="1"/>
  <c r="F1015" i="1"/>
  <c r="F901" i="1"/>
  <c r="H901" i="1"/>
  <c r="I901" i="1" s="1"/>
  <c r="F759" i="1"/>
  <c r="H759" i="1"/>
  <c r="I759" i="1" s="1"/>
  <c r="F594" i="1"/>
  <c r="H594" i="1"/>
  <c r="I594" i="1" s="1"/>
  <c r="H114" i="1"/>
  <c r="I114" i="1" s="1"/>
  <c r="F114" i="1"/>
  <c r="F886" i="1"/>
  <c r="H886" i="1"/>
  <c r="I886" i="1" s="1"/>
  <c r="H777" i="1"/>
  <c r="I777" i="1" s="1"/>
  <c r="F777" i="1"/>
  <c r="H751" i="1"/>
  <c r="I751" i="1" s="1"/>
  <c r="F751" i="1"/>
  <c r="H560" i="1"/>
  <c r="I560" i="1" s="1"/>
  <c r="F560" i="1"/>
  <c r="F947" i="1"/>
  <c r="H947" i="1"/>
  <c r="I947" i="1" s="1"/>
  <c r="H913" i="1"/>
  <c r="I913" i="1" s="1"/>
  <c r="F913" i="1"/>
  <c r="H643" i="1"/>
  <c r="I643" i="1" s="1"/>
  <c r="F643" i="1"/>
  <c r="H248" i="1"/>
  <c r="I248" i="1" s="1"/>
  <c r="F248" i="1"/>
  <c r="H1025" i="1"/>
  <c r="I1025" i="1" s="1"/>
  <c r="F1025" i="1"/>
  <c r="F530" i="1"/>
  <c r="H530" i="1"/>
  <c r="I530" i="1" s="1"/>
  <c r="F879" i="1"/>
  <c r="H879" i="1"/>
  <c r="I879" i="1" s="1"/>
  <c r="F996" i="1"/>
  <c r="H996" i="1"/>
  <c r="I996" i="1" s="1"/>
  <c r="F1012" i="1"/>
  <c r="H1012" i="1"/>
  <c r="I1012" i="1" s="1"/>
  <c r="F989" i="1"/>
  <c r="H989" i="1"/>
  <c r="I989" i="1" s="1"/>
  <c r="H1038" i="1"/>
  <c r="I1038" i="1" s="1"/>
  <c r="F1038" i="1"/>
  <c r="H898" i="1"/>
  <c r="I898" i="1" s="1"/>
  <c r="F898" i="1"/>
  <c r="H975" i="1"/>
  <c r="I975" i="1" s="1"/>
  <c r="F975" i="1"/>
  <c r="F883" i="1"/>
  <c r="H883" i="1"/>
  <c r="I883" i="1" s="1"/>
  <c r="H812" i="1"/>
  <c r="I812" i="1" s="1"/>
  <c r="F812" i="1"/>
  <c r="F734" i="1"/>
  <c r="H734" i="1"/>
  <c r="I734" i="1" s="1"/>
  <c r="F1019" i="1"/>
  <c r="H1019" i="1"/>
  <c r="I1019" i="1" s="1"/>
  <c r="H774" i="1"/>
  <c r="I774" i="1" s="1"/>
  <c r="F774" i="1"/>
  <c r="H412" i="1"/>
  <c r="I412" i="1" s="1"/>
  <c r="F412" i="1"/>
  <c r="H612" i="1"/>
  <c r="I612" i="1" s="1"/>
  <c r="F612" i="1"/>
  <c r="H805" i="1"/>
  <c r="I805" i="1" s="1"/>
  <c r="F805" i="1"/>
  <c r="H797" i="1"/>
  <c r="I797" i="1" s="1"/>
  <c r="F797" i="1"/>
  <c r="H1029" i="1"/>
  <c r="I1029" i="1" s="1"/>
  <c r="F1029" i="1"/>
  <c r="F871" i="1"/>
  <c r="H871" i="1"/>
  <c r="I871" i="1" s="1"/>
  <c r="F590" i="1"/>
  <c r="H590" i="1"/>
  <c r="I590" i="1" s="1"/>
  <c r="H726" i="1"/>
  <c r="I726" i="1" s="1"/>
  <c r="F726" i="1"/>
  <c r="F701" i="1"/>
  <c r="H701" i="1"/>
  <c r="I701" i="1" s="1"/>
  <c r="F569" i="1"/>
  <c r="H569" i="1"/>
  <c r="I569" i="1" s="1"/>
  <c r="H909" i="1"/>
  <c r="I909" i="1" s="1"/>
  <c r="F909" i="1"/>
  <c r="F130" i="1"/>
  <c r="H130" i="1"/>
  <c r="I130" i="1" s="1"/>
  <c r="H28" i="1"/>
  <c r="I28" i="1" s="1"/>
  <c r="F28" i="1"/>
  <c r="F809" i="1"/>
  <c r="F852" i="1"/>
  <c r="F798" i="1"/>
  <c r="H798" i="1"/>
  <c r="I798" i="1" s="1"/>
  <c r="H773" i="1"/>
  <c r="I773" i="1" s="1"/>
  <c r="F714" i="1"/>
  <c r="H647" i="1"/>
  <c r="I647" i="1" s="1"/>
  <c r="F630" i="1"/>
  <c r="H630" i="1"/>
  <c r="I630" i="1" s="1"/>
  <c r="F604" i="1"/>
  <c r="H539" i="1"/>
  <c r="I539" i="1" s="1"/>
  <c r="F534" i="1"/>
  <c r="H534" i="1"/>
  <c r="I534" i="1" s="1"/>
  <c r="F482" i="1"/>
  <c r="H482" i="1"/>
  <c r="I482" i="1" s="1"/>
  <c r="F441" i="1"/>
  <c r="H441" i="1"/>
  <c r="I441" i="1" s="1"/>
  <c r="F433" i="1"/>
  <c r="H422" i="1"/>
  <c r="I422" i="1" s="1"/>
  <c r="F422" i="1"/>
  <c r="H392" i="1"/>
  <c r="I392" i="1" s="1"/>
  <c r="F392" i="1"/>
  <c r="F365" i="1"/>
  <c r="F331" i="1"/>
  <c r="H331" i="1"/>
  <c r="I331" i="1" s="1"/>
  <c r="H280" i="1"/>
  <c r="I280" i="1" s="1"/>
  <c r="F280" i="1"/>
  <c r="F215" i="1"/>
  <c r="F140" i="1"/>
  <c r="F60" i="1"/>
  <c r="F34" i="1"/>
  <c r="H34" i="1"/>
  <c r="I34" i="1" s="1"/>
  <c r="F27" i="1"/>
  <c r="H14" i="1"/>
  <c r="I14" i="1" s="1"/>
  <c r="F14" i="1"/>
  <c r="H720" i="1"/>
  <c r="I720" i="1" s="1"/>
  <c r="F720" i="1"/>
  <c r="F670" i="1"/>
  <c r="H670" i="1"/>
  <c r="I670" i="1" s="1"/>
  <c r="F490" i="1"/>
  <c r="H490" i="1"/>
  <c r="I490" i="1" s="1"/>
  <c r="F386" i="1"/>
  <c r="H386" i="1"/>
  <c r="I386" i="1" s="1"/>
  <c r="H360" i="1"/>
  <c r="I360" i="1" s="1"/>
  <c r="F360" i="1"/>
  <c r="F891" i="1"/>
  <c r="H891" i="1"/>
  <c r="I891" i="1" s="1"/>
  <c r="F960" i="1"/>
  <c r="H960" i="1"/>
  <c r="I960" i="1" s="1"/>
  <c r="H752" i="1"/>
  <c r="I752" i="1" s="1"/>
  <c r="F752" i="1"/>
  <c r="F718" i="1"/>
  <c r="H718" i="1"/>
  <c r="I718" i="1" s="1"/>
  <c r="H629" i="1"/>
  <c r="I629" i="1" s="1"/>
  <c r="F526" i="1"/>
  <c r="H526" i="1"/>
  <c r="I526" i="1" s="1"/>
  <c r="H520" i="1"/>
  <c r="I520" i="1" s="1"/>
  <c r="F520" i="1"/>
  <c r="H440" i="1"/>
  <c r="I440" i="1" s="1"/>
  <c r="F440" i="1"/>
  <c r="H384" i="1"/>
  <c r="I384" i="1" s="1"/>
  <c r="F384" i="1"/>
  <c r="F262" i="1"/>
  <c r="H262" i="1"/>
  <c r="I262" i="1" s="1"/>
  <c r="H232" i="1"/>
  <c r="I232" i="1" s="1"/>
  <c r="F232" i="1"/>
  <c r="F194" i="1"/>
  <c r="F126" i="1"/>
  <c r="H126" i="1"/>
  <c r="I126" i="1" s="1"/>
  <c r="H66" i="1"/>
  <c r="I66" i="1" s="1"/>
  <c r="F66" i="1"/>
  <c r="H40" i="1"/>
  <c r="I40" i="1" s="1"/>
  <c r="F40" i="1"/>
  <c r="H1032" i="1"/>
  <c r="I1032" i="1" s="1"/>
  <c r="F1010" i="1"/>
  <c r="H1010" i="1"/>
  <c r="I1010" i="1" s="1"/>
  <c r="H978" i="1"/>
  <c r="I978" i="1" s="1"/>
  <c r="F973" i="1"/>
  <c r="F959" i="1"/>
  <c r="H945" i="1"/>
  <c r="I945" i="1" s="1"/>
  <c r="F945" i="1"/>
  <c r="H935" i="1"/>
  <c r="I935" i="1" s="1"/>
  <c r="F925" i="1"/>
  <c r="H916" i="1"/>
  <c r="I916" i="1" s="1"/>
  <c r="H910" i="1"/>
  <c r="I910" i="1" s="1"/>
  <c r="H905" i="1"/>
  <c r="I905" i="1" s="1"/>
  <c r="H875" i="1"/>
  <c r="I875" i="1" s="1"/>
  <c r="H847" i="1"/>
  <c r="I847" i="1" s="1"/>
  <c r="F821" i="1"/>
  <c r="H767" i="1"/>
  <c r="I767" i="1" s="1"/>
  <c r="F767" i="1"/>
  <c r="F697" i="1"/>
  <c r="F681" i="1"/>
  <c r="F506" i="1"/>
  <c r="F454" i="1"/>
  <c r="F447" i="1"/>
  <c r="H378" i="1"/>
  <c r="I378" i="1" s="1"/>
  <c r="F378" i="1"/>
  <c r="F364" i="1"/>
  <c r="F309" i="1"/>
  <c r="H309" i="1"/>
  <c r="I309" i="1" s="1"/>
  <c r="H285" i="1"/>
  <c r="I285" i="1" s="1"/>
  <c r="F175" i="1"/>
  <c r="H168" i="1"/>
  <c r="I168" i="1" s="1"/>
  <c r="F168" i="1"/>
  <c r="H139" i="1"/>
  <c r="I139" i="1" s="1"/>
  <c r="F139" i="1"/>
  <c r="F803" i="1"/>
  <c r="H803" i="1"/>
  <c r="I803" i="1" s="1"/>
  <c r="F739" i="1"/>
  <c r="H739" i="1"/>
  <c r="I739" i="1" s="1"/>
  <c r="F733" i="1"/>
  <c r="H733" i="1"/>
  <c r="I733" i="1" s="1"/>
  <c r="H585" i="1"/>
  <c r="I585" i="1" s="1"/>
  <c r="H372" i="1"/>
  <c r="I372" i="1" s="1"/>
  <c r="F372" i="1"/>
  <c r="F239" i="1"/>
  <c r="H239" i="1"/>
  <c r="I239" i="1" s="1"/>
  <c r="F193" i="1"/>
  <c r="H193" i="1"/>
  <c r="I193" i="1" s="1"/>
  <c r="H156" i="1"/>
  <c r="I156" i="1" s="1"/>
  <c r="F156" i="1"/>
  <c r="F118" i="1"/>
  <c r="H118" i="1"/>
  <c r="I118" i="1" s="1"/>
  <c r="H78" i="1"/>
  <c r="I78" i="1" s="1"/>
  <c r="F78" i="1"/>
  <c r="H39" i="1"/>
  <c r="I39" i="1" s="1"/>
  <c r="F637" i="1"/>
  <c r="H637" i="1"/>
  <c r="I637" i="1" s="1"/>
  <c r="F170" i="1"/>
  <c r="H170" i="1"/>
  <c r="I170" i="1" s="1"/>
  <c r="H480" i="1"/>
  <c r="I480" i="1" s="1"/>
  <c r="F480" i="1"/>
  <c r="H474" i="1"/>
  <c r="I474" i="1" s="1"/>
  <c r="F474" i="1"/>
  <c r="F466" i="1"/>
  <c r="H466" i="1"/>
  <c r="I466" i="1" s="1"/>
  <c r="H420" i="1"/>
  <c r="I420" i="1" s="1"/>
  <c r="F420" i="1"/>
  <c r="F408" i="1"/>
  <c r="H371" i="1"/>
  <c r="I371" i="1" s="1"/>
  <c r="F371" i="1"/>
  <c r="F329" i="1"/>
  <c r="H314" i="1"/>
  <c r="I314" i="1" s="1"/>
  <c r="F206" i="1"/>
  <c r="F84" i="1"/>
  <c r="H84" i="1"/>
  <c r="I84" i="1" s="1"/>
  <c r="H71" i="1"/>
  <c r="I71" i="1" s="1"/>
  <c r="H65" i="1"/>
  <c r="I65" i="1" s="1"/>
  <c r="H32" i="1"/>
  <c r="I32" i="1" s="1"/>
  <c r="F32" i="1"/>
  <c r="F401" i="1"/>
  <c r="H401" i="1"/>
  <c r="I401" i="1" s="1"/>
  <c r="F370" i="1"/>
  <c r="H370" i="1"/>
  <c r="I370" i="1" s="1"/>
  <c r="F238" i="1"/>
  <c r="H238" i="1"/>
  <c r="I238" i="1" s="1"/>
  <c r="F180" i="1"/>
  <c r="H180" i="1"/>
  <c r="I180" i="1" s="1"/>
  <c r="H576" i="1"/>
  <c r="I576" i="1" s="1"/>
  <c r="F576" i="1"/>
  <c r="H548" i="1"/>
  <c r="I548" i="1" s="1"/>
  <c r="F548" i="1"/>
  <c r="F965" i="1"/>
  <c r="F564" i="1"/>
  <c r="H476" i="1"/>
  <c r="I476" i="1" s="1"/>
  <c r="F476" i="1"/>
  <c r="H404" i="1"/>
  <c r="I404" i="1" s="1"/>
  <c r="F404" i="1"/>
  <c r="F969" i="1"/>
  <c r="F837" i="1"/>
  <c r="H837" i="1"/>
  <c r="I837" i="1" s="1"/>
  <c r="H895" i="1"/>
  <c r="I895" i="1" s="1"/>
  <c r="F895" i="1"/>
  <c r="F831" i="1"/>
  <c r="H267" i="1"/>
  <c r="I267" i="1" s="1"/>
  <c r="F267" i="1"/>
  <c r="F243" i="1"/>
  <c r="H243" i="1"/>
  <c r="I243" i="1" s="1"/>
  <c r="H1044" i="1"/>
  <c r="I1044" i="1" s="1"/>
  <c r="H1018" i="1"/>
  <c r="I1018" i="1" s="1"/>
  <c r="H995" i="1"/>
  <c r="I995" i="1" s="1"/>
  <c r="F977" i="1"/>
  <c r="H977" i="1"/>
  <c r="I977" i="1" s="1"/>
  <c r="H928" i="1"/>
  <c r="I928" i="1" s="1"/>
  <c r="F915" i="1"/>
  <c r="H915" i="1"/>
  <c r="I915" i="1" s="1"/>
  <c r="H889" i="1"/>
  <c r="I889" i="1" s="1"/>
  <c r="F870" i="1"/>
  <c r="H855" i="1"/>
  <c r="I855" i="1" s="1"/>
  <c r="F750" i="1"/>
  <c r="H750" i="1"/>
  <c r="I750" i="1" s="1"/>
  <c r="F722" i="1"/>
  <c r="H621" i="1"/>
  <c r="I621" i="1" s="1"/>
  <c r="F621" i="1"/>
  <c r="F602" i="1"/>
  <c r="F524" i="1"/>
  <c r="F473" i="1"/>
  <c r="H473" i="1"/>
  <c r="I473" i="1" s="1"/>
  <c r="F426" i="1"/>
  <c r="F337" i="1"/>
  <c r="H337" i="1"/>
  <c r="I337" i="1" s="1"/>
  <c r="F123" i="1"/>
  <c r="F103" i="1"/>
  <c r="H865" i="1"/>
  <c r="I865" i="1" s="1"/>
  <c r="F865" i="1"/>
  <c r="F771" i="1"/>
  <c r="H771" i="1"/>
  <c r="I771" i="1" s="1"/>
  <c r="F465" i="1"/>
  <c r="H465" i="1"/>
  <c r="I465" i="1" s="1"/>
  <c r="H369" i="1"/>
  <c r="I369" i="1" s="1"/>
  <c r="F369" i="1"/>
  <c r="H736" i="1"/>
  <c r="I736" i="1" s="1"/>
  <c r="F736" i="1"/>
  <c r="F366" i="1"/>
  <c r="H366" i="1"/>
  <c r="I366" i="1" s="1"/>
  <c r="H912" i="1"/>
  <c r="I912" i="1" s="1"/>
  <c r="F912" i="1"/>
  <c r="F887" i="1"/>
  <c r="H887" i="1"/>
  <c r="I887" i="1" s="1"/>
  <c r="F693" i="1"/>
  <c r="F669" i="1"/>
  <c r="H669" i="1"/>
  <c r="I669" i="1" s="1"/>
  <c r="F541" i="1"/>
  <c r="H541" i="1"/>
  <c r="I541" i="1" s="1"/>
  <c r="H570" i="1"/>
  <c r="I570" i="1" s="1"/>
  <c r="F570" i="1"/>
  <c r="H540" i="1"/>
  <c r="I540" i="1" s="1"/>
  <c r="F540" i="1"/>
  <c r="F448" i="1"/>
  <c r="H544" i="1"/>
  <c r="I544" i="1" s="1"/>
  <c r="F544" i="1"/>
  <c r="F294" i="1"/>
  <c r="H294" i="1"/>
  <c r="I294" i="1" s="1"/>
  <c r="F266" i="1"/>
  <c r="H266" i="1"/>
  <c r="I266" i="1" s="1"/>
  <c r="H260" i="1"/>
  <c r="I260" i="1" s="1"/>
  <c r="F260" i="1"/>
  <c r="F149" i="1"/>
  <c r="H149" i="1"/>
  <c r="I149" i="1" s="1"/>
  <c r="F70" i="1"/>
  <c r="H70" i="1"/>
  <c r="I70" i="1" s="1"/>
  <c r="F1026" i="1"/>
  <c r="F990" i="1"/>
  <c r="H990" i="1"/>
  <c r="I990" i="1" s="1"/>
  <c r="F976" i="1"/>
  <c r="H967" i="1"/>
  <c r="I967" i="1" s="1"/>
  <c r="F967" i="1"/>
  <c r="F914" i="1"/>
  <c r="F864" i="1"/>
  <c r="H864" i="1"/>
  <c r="I864" i="1" s="1"/>
  <c r="H859" i="1"/>
  <c r="I859" i="1" s="1"/>
  <c r="F801" i="1"/>
  <c r="F785" i="1"/>
  <c r="H755" i="1"/>
  <c r="I755" i="1" s="1"/>
  <c r="H743" i="1"/>
  <c r="I743" i="1" s="1"/>
  <c r="H700" i="1"/>
  <c r="I700" i="1" s="1"/>
  <c r="F672" i="1"/>
  <c r="F486" i="1"/>
  <c r="H486" i="1"/>
  <c r="I486" i="1" s="1"/>
  <c r="H452" i="1"/>
  <c r="I452" i="1" s="1"/>
  <c r="F452" i="1"/>
  <c r="H389" i="1"/>
  <c r="I389" i="1" s="1"/>
  <c r="H368" i="1"/>
  <c r="I368" i="1" s="1"/>
  <c r="F368" i="1"/>
  <c r="F211" i="1"/>
  <c r="H211" i="1"/>
  <c r="I211" i="1" s="1"/>
  <c r="H185" i="1"/>
  <c r="I185" i="1" s="1"/>
  <c r="F185" i="1"/>
  <c r="H154" i="1"/>
  <c r="I154" i="1" s="1"/>
  <c r="F17" i="1"/>
  <c r="H17" i="1"/>
  <c r="I17" i="1" s="1"/>
  <c r="H496" i="1"/>
  <c r="I496" i="1" s="1"/>
  <c r="F496" i="1"/>
  <c r="H380" i="1"/>
  <c r="I380" i="1" s="1"/>
  <c r="F380" i="1"/>
  <c r="F763" i="1"/>
  <c r="H763" i="1"/>
  <c r="I763" i="1" s="1"/>
  <c r="F857" i="1"/>
  <c r="H857" i="1"/>
  <c r="I857" i="1" s="1"/>
  <c r="F642" i="1"/>
  <c r="H642" i="1"/>
  <c r="I642" i="1" s="1"/>
  <c r="H897" i="1"/>
  <c r="I897" i="1" s="1"/>
  <c r="F897" i="1"/>
  <c r="F1023" i="1"/>
  <c r="H1023" i="1"/>
  <c r="I1023" i="1" s="1"/>
  <c r="F538" i="1"/>
  <c r="F578" i="1"/>
  <c r="H578" i="1"/>
  <c r="I578" i="1" s="1"/>
  <c r="F498" i="1"/>
  <c r="H498" i="1"/>
  <c r="I498" i="1" s="1"/>
  <c r="F1039" i="1"/>
  <c r="H1039" i="1"/>
  <c r="I1039" i="1" s="1"/>
  <c r="F1004" i="1"/>
  <c r="H1004" i="1"/>
  <c r="I1004" i="1" s="1"/>
  <c r="F899" i="1"/>
  <c r="H899" i="1"/>
  <c r="I899" i="1" s="1"/>
  <c r="H829" i="1"/>
  <c r="I829" i="1" s="1"/>
  <c r="F829" i="1"/>
  <c r="H678" i="1"/>
  <c r="I678" i="1" s="1"/>
  <c r="F678" i="1"/>
  <c r="H660" i="1"/>
  <c r="I660" i="1" s="1"/>
  <c r="F660" i="1"/>
  <c r="H633" i="1"/>
  <c r="I633" i="1" s="1"/>
  <c r="F633" i="1"/>
  <c r="H614" i="1"/>
  <c r="I614" i="1" s="1"/>
  <c r="F614" i="1"/>
  <c r="H306" i="1"/>
  <c r="I306" i="1" s="1"/>
  <c r="F306" i="1"/>
  <c r="F254" i="1"/>
  <c r="H254" i="1"/>
  <c r="I254" i="1" s="1"/>
  <c r="F10" i="1"/>
  <c r="H10" i="1"/>
  <c r="I10" i="1" s="1"/>
  <c r="F341" i="1"/>
  <c r="H341" i="1"/>
  <c r="I341" i="1" s="1"/>
  <c r="H258" i="1"/>
  <c r="I258" i="1" s="1"/>
  <c r="F258" i="1"/>
  <c r="H735" i="1"/>
  <c r="I735" i="1" s="1"/>
  <c r="F735" i="1"/>
  <c r="F483" i="1"/>
  <c r="H442" i="1"/>
  <c r="I442" i="1" s="1"/>
  <c r="F442" i="1"/>
  <c r="F514" i="1"/>
  <c r="H514" i="1"/>
  <c r="I514" i="1" s="1"/>
  <c r="F1014" i="1"/>
  <c r="H1014" i="1"/>
  <c r="I1014" i="1" s="1"/>
  <c r="H616" i="1"/>
  <c r="I616" i="1" s="1"/>
  <c r="F616" i="1"/>
  <c r="F744" i="1"/>
  <c r="H744" i="1"/>
  <c r="I744" i="1" s="1"/>
  <c r="F685" i="1"/>
  <c r="H685" i="1"/>
  <c r="I685" i="1" s="1"/>
  <c r="H845" i="1"/>
  <c r="I845" i="1" s="1"/>
  <c r="F845" i="1"/>
  <c r="F458" i="1"/>
  <c r="F444" i="1"/>
  <c r="F335" i="1"/>
  <c r="H335" i="1"/>
  <c r="I335" i="1" s="1"/>
  <c r="F322" i="1"/>
  <c r="F298" i="1"/>
  <c r="H298" i="1"/>
  <c r="I298" i="1" s="1"/>
  <c r="F282" i="1"/>
  <c r="H282" i="1"/>
  <c r="I282" i="1" s="1"/>
  <c r="H217" i="1"/>
  <c r="I217" i="1" s="1"/>
  <c r="F217" i="1"/>
  <c r="F75" i="1"/>
  <c r="F50" i="1"/>
  <c r="F462" i="1"/>
  <c r="H462" i="1"/>
  <c r="I462" i="1" s="1"/>
  <c r="F1034" i="1"/>
  <c r="F1016" i="1"/>
  <c r="H877" i="1"/>
  <c r="I877" i="1" s="1"/>
  <c r="F877" i="1"/>
  <c r="F839" i="1"/>
  <c r="H839" i="1"/>
  <c r="I839" i="1" s="1"/>
  <c r="H769" i="1"/>
  <c r="I769" i="1" s="1"/>
  <c r="F769" i="1"/>
  <c r="F354" i="1"/>
  <c r="H354" i="1"/>
  <c r="I354" i="1" s="1"/>
  <c r="H304" i="1"/>
  <c r="I304" i="1" s="1"/>
  <c r="F304" i="1"/>
  <c r="F848" i="1"/>
  <c r="F939" i="1"/>
  <c r="F781" i="1"/>
  <c r="F707" i="1"/>
  <c r="H707" i="1"/>
  <c r="I707" i="1" s="1"/>
  <c r="H646" i="1"/>
  <c r="I646" i="1" s="1"/>
  <c r="F646" i="1"/>
  <c r="H608" i="1"/>
  <c r="I608" i="1" s="1"/>
  <c r="F608" i="1"/>
  <c r="F438" i="1"/>
  <c r="H438" i="1"/>
  <c r="I438" i="1" s="1"/>
  <c r="F985" i="1"/>
  <c r="F1003" i="1"/>
  <c r="F893" i="1"/>
  <c r="F863" i="1"/>
  <c r="F844" i="1"/>
  <c r="F748" i="1"/>
  <c r="H748" i="1"/>
  <c r="I748" i="1" s="1"/>
  <c r="H742" i="1"/>
  <c r="I742" i="1" s="1"/>
  <c r="F742" i="1"/>
  <c r="F671" i="1"/>
  <c r="F638" i="1"/>
  <c r="H638" i="1"/>
  <c r="I638" i="1" s="1"/>
  <c r="H600" i="1"/>
  <c r="I600" i="1" s="1"/>
  <c r="F600" i="1"/>
  <c r="H572" i="1"/>
  <c r="I572" i="1" s="1"/>
  <c r="F572" i="1"/>
  <c r="H559" i="1"/>
  <c r="I559" i="1" s="1"/>
  <c r="F559" i="1"/>
  <c r="F253" i="1"/>
  <c r="H253" i="1"/>
  <c r="I253" i="1" s="1"/>
  <c r="F235" i="1"/>
  <c r="H235" i="1"/>
  <c r="I235" i="1" s="1"/>
  <c r="F196" i="1"/>
  <c r="H196" i="1"/>
  <c r="I196" i="1" s="1"/>
  <c r="F135" i="1"/>
  <c r="H62" i="1"/>
  <c r="I62" i="1" s="1"/>
  <c r="F62" i="1"/>
  <c r="H449" i="1"/>
  <c r="I449" i="1" s="1"/>
  <c r="F449" i="1"/>
  <c r="H435" i="1"/>
  <c r="I435" i="1" s="1"/>
  <c r="F435" i="1"/>
  <c r="F582" i="1"/>
  <c r="F955" i="1"/>
  <c r="H688" i="1"/>
  <c r="I688" i="1" s="1"/>
  <c r="F688" i="1"/>
  <c r="F310" i="1"/>
  <c r="H310" i="1"/>
  <c r="I310" i="1" s="1"/>
  <c r="H656" i="1"/>
  <c r="I656" i="1" s="1"/>
  <c r="F656" i="1"/>
  <c r="F1000" i="1"/>
  <c r="H1000" i="1"/>
  <c r="I1000" i="1" s="1"/>
  <c r="F825" i="1"/>
  <c r="H825" i="1"/>
  <c r="I825" i="1" s="1"/>
  <c r="F628" i="1"/>
  <c r="H595" i="1"/>
  <c r="I595" i="1" s="1"/>
  <c r="F595" i="1"/>
  <c r="H933" i="1"/>
  <c r="I933" i="1" s="1"/>
  <c r="F933" i="1"/>
  <c r="F795" i="1"/>
  <c r="H795" i="1"/>
  <c r="I795" i="1" s="1"/>
  <c r="F749" i="1"/>
  <c r="H749" i="1"/>
  <c r="I749" i="1" s="1"/>
  <c r="F794" i="1"/>
  <c r="H794" i="1"/>
  <c r="I794" i="1" s="1"/>
  <c r="F1030" i="1"/>
  <c r="H1030" i="1"/>
  <c r="I1030" i="1" s="1"/>
  <c r="H878" i="1"/>
  <c r="I878" i="1" s="1"/>
  <c r="H951" i="1"/>
  <c r="I951" i="1" s="1"/>
  <c r="F834" i="1"/>
  <c r="H834" i="1"/>
  <c r="I834" i="1" s="1"/>
  <c r="H793" i="1"/>
  <c r="I793" i="1" s="1"/>
  <c r="F689" i="1"/>
  <c r="H625" i="1"/>
  <c r="I625" i="1" s="1"/>
  <c r="F625" i="1"/>
  <c r="F522" i="1"/>
  <c r="H522" i="1"/>
  <c r="I522" i="1" s="1"/>
  <c r="H515" i="1"/>
  <c r="I515" i="1" s="1"/>
  <c r="H470" i="1"/>
  <c r="I470" i="1" s="1"/>
  <c r="F429" i="1"/>
  <c r="F416" i="1"/>
  <c r="H398" i="1"/>
  <c r="I398" i="1" s="1"/>
  <c r="H393" i="1"/>
  <c r="I393" i="1" s="1"/>
  <c r="H387" i="1"/>
  <c r="I387" i="1" s="1"/>
  <c r="H321" i="1"/>
  <c r="I321" i="1" s="1"/>
  <c r="F202" i="1"/>
  <c r="H202" i="1"/>
  <c r="I202" i="1" s="1"/>
  <c r="F190" i="1"/>
  <c r="F171" i="1"/>
  <c r="H171" i="1"/>
  <c r="I171" i="1" s="1"/>
  <c r="F159" i="1"/>
  <c r="H87" i="1"/>
  <c r="I87" i="1" s="1"/>
  <c r="F49" i="1"/>
  <c r="H512" i="1"/>
  <c r="I512" i="1" s="1"/>
  <c r="F512" i="1"/>
  <c r="F467" i="1"/>
  <c r="H467" i="1"/>
  <c r="I467" i="1" s="1"/>
  <c r="H352" i="1"/>
  <c r="I352" i="1" s="1"/>
  <c r="F352" i="1"/>
  <c r="H272" i="1"/>
  <c r="I272" i="1" s="1"/>
  <c r="F272" i="1"/>
  <c r="F98" i="1"/>
  <c r="H98" i="1"/>
  <c r="I98" i="1" s="1"/>
  <c r="F18" i="1"/>
  <c r="H18" i="1"/>
  <c r="I18" i="1" s="1"/>
  <c r="H516" i="1"/>
  <c r="I516" i="1" s="1"/>
  <c r="F516" i="1"/>
  <c r="H388" i="1"/>
  <c r="I388" i="1" s="1"/>
  <c r="F388" i="1"/>
  <c r="H356" i="1"/>
  <c r="I356" i="1" s="1"/>
  <c r="F356" i="1"/>
  <c r="H336" i="1"/>
  <c r="I336" i="1" s="1"/>
  <c r="F336" i="1"/>
  <c r="H252" i="1"/>
  <c r="I252" i="1" s="1"/>
  <c r="F252" i="1"/>
  <c r="H124" i="1"/>
  <c r="I124" i="1" s="1"/>
  <c r="F124" i="1"/>
  <c r="H484" i="1"/>
  <c r="I484" i="1" s="1"/>
  <c r="F484" i="1"/>
  <c r="F443" i="1"/>
  <c r="F402" i="1"/>
  <c r="H402" i="1"/>
  <c r="I402" i="1" s="1"/>
  <c r="F346" i="1"/>
  <c r="F247" i="1"/>
  <c r="H96" i="1"/>
  <c r="I96" i="1" s="1"/>
  <c r="F96" i="1"/>
  <c r="F91" i="1"/>
  <c r="F11" i="1"/>
  <c r="F675" i="1"/>
  <c r="H675" i="1"/>
  <c r="I675" i="1" s="1"/>
  <c r="H641" i="1"/>
  <c r="I641" i="1" s="1"/>
  <c r="F641" i="1"/>
  <c r="F606" i="1"/>
  <c r="H606" i="1"/>
  <c r="I606" i="1" s="1"/>
  <c r="H558" i="1"/>
  <c r="I558" i="1" s="1"/>
  <c r="H519" i="1"/>
  <c r="I519" i="1" s="1"/>
  <c r="H510" i="1"/>
  <c r="I510" i="1" s="1"/>
  <c r="H487" i="1"/>
  <c r="I487" i="1" s="1"/>
  <c r="H478" i="1"/>
  <c r="I478" i="1" s="1"/>
  <c r="H464" i="1"/>
  <c r="I464" i="1" s="1"/>
  <c r="H451" i="1"/>
  <c r="I451" i="1" s="1"/>
  <c r="H419" i="1"/>
  <c r="I419" i="1" s="1"/>
  <c r="H359" i="1"/>
  <c r="I359" i="1" s="1"/>
  <c r="H297" i="1"/>
  <c r="I297" i="1" s="1"/>
  <c r="F297" i="1"/>
  <c r="H288" i="1"/>
  <c r="I288" i="1" s="1"/>
  <c r="F288" i="1"/>
  <c r="H264" i="1"/>
  <c r="I264" i="1" s="1"/>
  <c r="H209" i="1"/>
  <c r="I209" i="1" s="1"/>
  <c r="H198" i="1"/>
  <c r="I198" i="1" s="1"/>
  <c r="H148" i="1"/>
  <c r="I148" i="1" s="1"/>
  <c r="H138" i="1"/>
  <c r="I138" i="1" s="1"/>
  <c r="H117" i="1"/>
  <c r="I117" i="1" s="1"/>
  <c r="H69" i="1"/>
  <c r="I69" i="1" s="1"/>
  <c r="H59" i="1"/>
  <c r="I59" i="1" s="1"/>
  <c r="F59" i="1"/>
  <c r="H26" i="1"/>
  <c r="I26" i="1" s="1"/>
  <c r="H957" i="1"/>
  <c r="I957" i="1" s="1"/>
  <c r="F957" i="1"/>
  <c r="F610" i="1"/>
  <c r="H610" i="1"/>
  <c r="I610" i="1" s="1"/>
  <c r="F303" i="1"/>
  <c r="H303" i="1"/>
  <c r="I303" i="1" s="1"/>
  <c r="H203" i="1"/>
  <c r="I203" i="1" s="1"/>
  <c r="F203" i="1"/>
  <c r="F143" i="1"/>
  <c r="H143" i="1"/>
  <c r="I143" i="1" s="1"/>
  <c r="F106" i="1"/>
  <c r="H106" i="1"/>
  <c r="I106" i="1" s="1"/>
  <c r="H410" i="1"/>
  <c r="I410" i="1" s="1"/>
  <c r="F410" i="1"/>
  <c r="F1001" i="1"/>
  <c r="F838" i="1"/>
  <c r="F807" i="1"/>
  <c r="H807" i="1"/>
  <c r="I807" i="1" s="1"/>
  <c r="F662" i="1"/>
  <c r="H580" i="1"/>
  <c r="I580" i="1" s="1"/>
  <c r="F580" i="1"/>
  <c r="F562" i="1"/>
  <c r="H562" i="1"/>
  <c r="I562" i="1" s="1"/>
  <c r="F537" i="1"/>
  <c r="H424" i="1"/>
  <c r="I424" i="1" s="1"/>
  <c r="F424" i="1"/>
  <c r="F292" i="1"/>
  <c r="H500" i="1"/>
  <c r="I500" i="1" s="1"/>
  <c r="F500" i="1"/>
  <c r="F495" i="1"/>
  <c r="H495" i="1"/>
  <c r="I495" i="1" s="1"/>
  <c r="H312" i="1"/>
  <c r="I312" i="1" s="1"/>
  <c r="F312" i="1"/>
  <c r="F132" i="1"/>
  <c r="H132" i="1"/>
  <c r="I132" i="1" s="1"/>
  <c r="H1033" i="1"/>
  <c r="I1033" i="1" s="1"/>
  <c r="H1017" i="1"/>
  <c r="I1017" i="1" s="1"/>
  <c r="H997" i="1"/>
  <c r="I997" i="1" s="1"/>
  <c r="H987" i="1"/>
  <c r="I987" i="1" s="1"/>
  <c r="F974" i="1"/>
  <c r="H911" i="1"/>
  <c r="I911" i="1" s="1"/>
  <c r="H884" i="1"/>
  <c r="I884" i="1" s="1"/>
  <c r="H880" i="1"/>
  <c r="I880" i="1" s="1"/>
  <c r="H876" i="1"/>
  <c r="I876" i="1" s="1"/>
  <c r="F861" i="1"/>
  <c r="H853" i="1"/>
  <c r="I853" i="1" s="1"/>
  <c r="H822" i="1"/>
  <c r="I822" i="1" s="1"/>
  <c r="F799" i="1"/>
  <c r="H791" i="1"/>
  <c r="I791" i="1" s="1"/>
  <c r="H756" i="1"/>
  <c r="I756" i="1" s="1"/>
  <c r="F719" i="1"/>
  <c r="H682" i="1"/>
  <c r="I682" i="1" s="1"/>
  <c r="H674" i="1"/>
  <c r="I674" i="1" s="1"/>
  <c r="F657" i="1"/>
  <c r="F640" i="1"/>
  <c r="H631" i="1"/>
  <c r="I631" i="1" s="1"/>
  <c r="H622" i="1"/>
  <c r="I622" i="1" s="1"/>
  <c r="H618" i="1"/>
  <c r="I618" i="1" s="1"/>
  <c r="H605" i="1"/>
  <c r="I605" i="1" s="1"/>
  <c r="F571" i="1"/>
  <c r="F532" i="1"/>
  <c r="F349" i="1"/>
  <c r="H349" i="1"/>
  <c r="I349" i="1" s="1"/>
  <c r="H333" i="1"/>
  <c r="I333" i="1" s="1"/>
  <c r="H324" i="1"/>
  <c r="I324" i="1" s="1"/>
  <c r="H307" i="1"/>
  <c r="I307" i="1" s="1"/>
  <c r="F302" i="1"/>
  <c r="H302" i="1"/>
  <c r="I302" i="1" s="1"/>
  <c r="F213" i="1"/>
  <c r="F208" i="1"/>
  <c r="H147" i="1"/>
  <c r="I147" i="1" s="1"/>
  <c r="H94" i="1"/>
  <c r="I94" i="1" s="1"/>
  <c r="F94" i="1"/>
  <c r="H79" i="1"/>
  <c r="I79" i="1" s="1"/>
  <c r="F53" i="1"/>
  <c r="F42" i="1"/>
  <c r="H42" i="1"/>
  <c r="I42" i="1" s="1"/>
  <c r="H25" i="1"/>
  <c r="I25" i="1" s="1"/>
  <c r="F25" i="1"/>
  <c r="F20" i="1"/>
  <c r="F9" i="1"/>
  <c r="F686" i="1"/>
  <c r="H686" i="1"/>
  <c r="I686" i="1" s="1"/>
  <c r="H566" i="1"/>
  <c r="I566" i="1" s="1"/>
  <c r="H557" i="1"/>
  <c r="I557" i="1" s="1"/>
  <c r="H477" i="1"/>
  <c r="I477" i="1" s="1"/>
  <c r="H463" i="1"/>
  <c r="I463" i="1" s="1"/>
  <c r="H455" i="1"/>
  <c r="I455" i="1" s="1"/>
  <c r="H450" i="1"/>
  <c r="I450" i="1" s="1"/>
  <c r="F418" i="1"/>
  <c r="H418" i="1"/>
  <c r="I418" i="1" s="1"/>
  <c r="H343" i="1"/>
  <c r="I343" i="1" s="1"/>
  <c r="F178" i="1"/>
  <c r="H137" i="1"/>
  <c r="I137" i="1" s="1"/>
  <c r="F137" i="1"/>
  <c r="H131" i="1"/>
  <c r="I131" i="1" s="1"/>
  <c r="H116" i="1"/>
  <c r="I116" i="1" s="1"/>
  <c r="H111" i="1"/>
  <c r="I111" i="1" s="1"/>
  <c r="F111" i="1"/>
  <c r="H88" i="1"/>
  <c r="I88" i="1" s="1"/>
  <c r="F41" i="1"/>
  <c r="F4" i="1"/>
  <c r="H4" i="1"/>
  <c r="I4" i="1" s="1"/>
  <c r="F723" i="1"/>
  <c r="H723" i="1"/>
  <c r="I723" i="1" s="1"/>
  <c r="F941" i="1"/>
  <c r="H644" i="1"/>
  <c r="I644" i="1" s="1"/>
  <c r="F644" i="1"/>
  <c r="H545" i="1"/>
  <c r="I545" i="1" s="1"/>
  <c r="F545" i="1"/>
  <c r="H753" i="1"/>
  <c r="I753" i="1" s="1"/>
  <c r="F753" i="1"/>
  <c r="F632" i="1"/>
  <c r="F334" i="1"/>
  <c r="H334" i="1"/>
  <c r="I334" i="1" s="1"/>
  <c r="H504" i="1"/>
  <c r="I504" i="1" s="1"/>
  <c r="F504" i="1"/>
  <c r="F806" i="1"/>
  <c r="H698" i="1"/>
  <c r="I698" i="1" s="1"/>
  <c r="F694" i="1"/>
  <c r="H652" i="1"/>
  <c r="I652" i="1" s="1"/>
  <c r="H583" i="1"/>
  <c r="I583" i="1" s="1"/>
  <c r="H332" i="1"/>
  <c r="I332" i="1" s="1"/>
  <c r="F332" i="1"/>
  <c r="F218" i="1"/>
  <c r="H218" i="1"/>
  <c r="I218" i="1" s="1"/>
  <c r="H161" i="1"/>
  <c r="I161" i="1" s="1"/>
  <c r="F104" i="1"/>
  <c r="H63" i="1"/>
  <c r="I63" i="1" s="1"/>
  <c r="F63" i="1"/>
  <c r="H30" i="1"/>
  <c r="I30" i="1" s="1"/>
  <c r="F30" i="1"/>
  <c r="F949" i="1"/>
  <c r="F923" i="1"/>
  <c r="F740" i="1"/>
  <c r="F626" i="1"/>
  <c r="H626" i="1"/>
  <c r="I626" i="1" s="1"/>
  <c r="F596" i="1"/>
  <c r="H468" i="1"/>
  <c r="I468" i="1" s="1"/>
  <c r="F468" i="1"/>
  <c r="H385" i="1"/>
  <c r="I385" i="1" s="1"/>
  <c r="F385" i="1"/>
  <c r="F775" i="1"/>
  <c r="H775" i="1"/>
  <c r="I775" i="1" s="1"/>
  <c r="F591" i="1"/>
  <c r="H531" i="1"/>
  <c r="I531" i="1" s="1"/>
  <c r="H613" i="1"/>
  <c r="I613" i="1" s="1"/>
  <c r="H574" i="1"/>
  <c r="I574" i="1" s="1"/>
  <c r="H549" i="1"/>
  <c r="I549" i="1" s="1"/>
  <c r="H513" i="1"/>
  <c r="I513" i="1" s="1"/>
  <c r="F513" i="1"/>
  <c r="H508" i="1"/>
  <c r="I508" i="1" s="1"/>
  <c r="F472" i="1"/>
  <c r="H223" i="1"/>
  <c r="I223" i="1" s="1"/>
  <c r="F212" i="1"/>
  <c r="H187" i="1"/>
  <c r="I187" i="1" s="1"/>
  <c r="F187" i="1"/>
  <c r="H146" i="1"/>
  <c r="I146" i="1" s="1"/>
  <c r="F51" i="1"/>
  <c r="H51" i="1"/>
  <c r="I51" i="1" s="1"/>
  <c r="H35" i="1"/>
  <c r="I35" i="1" s="1"/>
  <c r="H456" i="1"/>
  <c r="I456" i="1" s="1"/>
  <c r="F456" i="1"/>
  <c r="H316" i="1"/>
  <c r="I316" i="1" s="1"/>
  <c r="F316" i="1"/>
  <c r="F182" i="1"/>
  <c r="H182" i="1"/>
  <c r="I182" i="1" s="1"/>
  <c r="H33" i="1"/>
  <c r="I33" i="1" s="1"/>
  <c r="F33" i="1"/>
  <c r="H488" i="1"/>
  <c r="I488" i="1" s="1"/>
  <c r="F488" i="1"/>
  <c r="F434" i="1"/>
  <c r="H434" i="1"/>
  <c r="I434" i="1" s="1"/>
  <c r="H204" i="1"/>
  <c r="I204" i="1" s="1"/>
  <c r="F204" i="1"/>
  <c r="F37" i="1"/>
  <c r="H37" i="1"/>
  <c r="I37" i="1" s="1"/>
  <c r="H268" i="1"/>
  <c r="I268" i="1" s="1"/>
  <c r="F268" i="1"/>
  <c r="H233" i="1"/>
  <c r="I233" i="1" s="1"/>
  <c r="F233" i="1"/>
  <c r="F129" i="1"/>
  <c r="F119" i="1"/>
  <c r="F90" i="1"/>
  <c r="H90" i="1"/>
  <c r="I90" i="1" s="1"/>
  <c r="F330" i="1"/>
  <c r="H330" i="1"/>
  <c r="I330" i="1" s="1"/>
  <c r="H284" i="1"/>
  <c r="I284" i="1" s="1"/>
  <c r="F284" i="1"/>
  <c r="F224" i="1"/>
</calcChain>
</file>

<file path=xl/sharedStrings.xml><?xml version="1.0" encoding="utf-8"?>
<sst xmlns="http://schemas.openxmlformats.org/spreadsheetml/2006/main" count="5647" uniqueCount="2351">
  <si>
    <t>DPA_PARROQ</t>
  </si>
  <si>
    <t>DPA_DESPAR</t>
  </si>
  <si>
    <t>010150</t>
  </si>
  <si>
    <t>CUENCA</t>
  </si>
  <si>
    <t>010151</t>
  </si>
  <si>
    <t>BAÑOS</t>
  </si>
  <si>
    <t>010152</t>
  </si>
  <si>
    <t>CUMBE</t>
  </si>
  <si>
    <t>010153</t>
  </si>
  <si>
    <t>CHAUCHA</t>
  </si>
  <si>
    <t>010154</t>
  </si>
  <si>
    <t>CHECA</t>
  </si>
  <si>
    <t>010155</t>
  </si>
  <si>
    <t>CHIQUINTAD</t>
  </si>
  <si>
    <t>010156</t>
  </si>
  <si>
    <t>LLACAO</t>
  </si>
  <si>
    <t>010157</t>
  </si>
  <si>
    <t>MOLLETURO</t>
  </si>
  <si>
    <t>010158</t>
  </si>
  <si>
    <t>NULTI</t>
  </si>
  <si>
    <t>010159</t>
  </si>
  <si>
    <t>OCTAVIO CORDERO PALACIOS</t>
  </si>
  <si>
    <t>010160</t>
  </si>
  <si>
    <t>PACCHA</t>
  </si>
  <si>
    <t>010161</t>
  </si>
  <si>
    <t>QUINGEO</t>
  </si>
  <si>
    <t>010162</t>
  </si>
  <si>
    <t>RICAURTE</t>
  </si>
  <si>
    <t>010163</t>
  </si>
  <si>
    <t>SAN JOAQUÍN</t>
  </si>
  <si>
    <t>010164</t>
  </si>
  <si>
    <t>SANTA ANA</t>
  </si>
  <si>
    <t>010165</t>
  </si>
  <si>
    <t>SAYAUSÍ</t>
  </si>
  <si>
    <t>010166</t>
  </si>
  <si>
    <t>SIDCAY</t>
  </si>
  <si>
    <t>010167</t>
  </si>
  <si>
    <t>SININCAY</t>
  </si>
  <si>
    <t>010168</t>
  </si>
  <si>
    <t>TARQUI</t>
  </si>
  <si>
    <t>010169</t>
  </si>
  <si>
    <t>TURI</t>
  </si>
  <si>
    <t>010170</t>
  </si>
  <si>
    <t>VALLE</t>
  </si>
  <si>
    <t>010171</t>
  </si>
  <si>
    <t>VICTORIA DEL PORTETE</t>
  </si>
  <si>
    <t>010250</t>
  </si>
  <si>
    <t>GIRÓN</t>
  </si>
  <si>
    <t>010251</t>
  </si>
  <si>
    <t>LA ASUNCIÓN</t>
  </si>
  <si>
    <t>010252</t>
  </si>
  <si>
    <t>SAN GERARDO</t>
  </si>
  <si>
    <t>010350</t>
  </si>
  <si>
    <t>GUALACEO</t>
  </si>
  <si>
    <t>010352</t>
  </si>
  <si>
    <t>DANIEL CÓRDOVA TORAL</t>
  </si>
  <si>
    <t>010353</t>
  </si>
  <si>
    <t>JADÁN</t>
  </si>
  <si>
    <t>010354</t>
  </si>
  <si>
    <t>MARIANO MORENO</t>
  </si>
  <si>
    <t>010356</t>
  </si>
  <si>
    <t>REMIGIO CRESPO TORAL</t>
  </si>
  <si>
    <t>010357</t>
  </si>
  <si>
    <t>SAN JUAN</t>
  </si>
  <si>
    <t>010358</t>
  </si>
  <si>
    <t>ZHIDMAD</t>
  </si>
  <si>
    <t>010359</t>
  </si>
  <si>
    <t>LUIS CORDERO VEGA</t>
  </si>
  <si>
    <t>010360</t>
  </si>
  <si>
    <t>SIMÓN BOLÍVAR</t>
  </si>
  <si>
    <t>010450</t>
  </si>
  <si>
    <t>NABÓN</t>
  </si>
  <si>
    <t>010451</t>
  </si>
  <si>
    <t>COCHAPATA</t>
  </si>
  <si>
    <t>010452</t>
  </si>
  <si>
    <t>EL PROGRESO</t>
  </si>
  <si>
    <t>010453</t>
  </si>
  <si>
    <t>LAS NIEVES</t>
  </si>
  <si>
    <t>010550</t>
  </si>
  <si>
    <t>PAUTE</t>
  </si>
  <si>
    <t>010552</t>
  </si>
  <si>
    <t>BULÁN</t>
  </si>
  <si>
    <t>010553</t>
  </si>
  <si>
    <t>CHICÁN</t>
  </si>
  <si>
    <t>010554</t>
  </si>
  <si>
    <t>EL CABO</t>
  </si>
  <si>
    <t>010556</t>
  </si>
  <si>
    <t>GUARAINAG</t>
  </si>
  <si>
    <t>010559</t>
  </si>
  <si>
    <t>SAN CRISTÓBAL</t>
  </si>
  <si>
    <t>010561</t>
  </si>
  <si>
    <t>TOMEBAMBA</t>
  </si>
  <si>
    <t>010562</t>
  </si>
  <si>
    <t>DUG DUG</t>
  </si>
  <si>
    <t>010650</t>
  </si>
  <si>
    <t>PUCARÁ</t>
  </si>
  <si>
    <t>010652</t>
  </si>
  <si>
    <t>SAN RAFAEL DE SHARUG</t>
  </si>
  <si>
    <t>010750</t>
  </si>
  <si>
    <t>SAN FERNANDO</t>
  </si>
  <si>
    <t>010751</t>
  </si>
  <si>
    <t>CHUMBLÍN</t>
  </si>
  <si>
    <t>010850</t>
  </si>
  <si>
    <t>SANTA ISABEL</t>
  </si>
  <si>
    <t>010851</t>
  </si>
  <si>
    <t>ABDÓN CALDERÓN</t>
  </si>
  <si>
    <t>010852</t>
  </si>
  <si>
    <t>EL CARMEN DE PIJILÍ</t>
  </si>
  <si>
    <t>010853</t>
  </si>
  <si>
    <t>SHAGLLI</t>
  </si>
  <si>
    <t>010854</t>
  </si>
  <si>
    <t>SAN SALVADOR DE CAÑARIBAMBA</t>
  </si>
  <si>
    <t>010950</t>
  </si>
  <si>
    <t>SÍGSIG</t>
  </si>
  <si>
    <t>010951</t>
  </si>
  <si>
    <t>CUCHIL</t>
  </si>
  <si>
    <t>010952</t>
  </si>
  <si>
    <t>JIMA</t>
  </si>
  <si>
    <t>010953</t>
  </si>
  <si>
    <t>GÜEL</t>
  </si>
  <si>
    <t>010954</t>
  </si>
  <si>
    <t>LUDO</t>
  </si>
  <si>
    <t>010955</t>
  </si>
  <si>
    <t>SAN BARTOLOMÉ</t>
  </si>
  <si>
    <t>010956</t>
  </si>
  <si>
    <t>SAN JOSÉ DE RARANGA</t>
  </si>
  <si>
    <t>011050</t>
  </si>
  <si>
    <t>SAN FELIPE DE OÑA</t>
  </si>
  <si>
    <t>011051</t>
  </si>
  <si>
    <t>SUSUDEL</t>
  </si>
  <si>
    <t>011150</t>
  </si>
  <si>
    <t>CHORDELEG</t>
  </si>
  <si>
    <t>011151</t>
  </si>
  <si>
    <t>PRINCIPAL</t>
  </si>
  <si>
    <t>011152</t>
  </si>
  <si>
    <t>LA UNIÓN</t>
  </si>
  <si>
    <t>011153</t>
  </si>
  <si>
    <t>LUIS GALARZA ORELLANA</t>
  </si>
  <si>
    <t>011154</t>
  </si>
  <si>
    <t>SAN MARTÍN DE PUZHIO</t>
  </si>
  <si>
    <t>011250</t>
  </si>
  <si>
    <t>EL PAN</t>
  </si>
  <si>
    <t>011253</t>
  </si>
  <si>
    <t>SAN VICENTE</t>
  </si>
  <si>
    <t>011350</t>
  </si>
  <si>
    <t>SEVILLA DE ORO</t>
  </si>
  <si>
    <t>011351</t>
  </si>
  <si>
    <t>AMALUZA</t>
  </si>
  <si>
    <t>011352</t>
  </si>
  <si>
    <t>PALMAS</t>
  </si>
  <si>
    <t>011450</t>
  </si>
  <si>
    <t>GUACHAPALA</t>
  </si>
  <si>
    <t>011550</t>
  </si>
  <si>
    <t>CAMILO PONCE ENRÍQUEZ</t>
  </si>
  <si>
    <t>020150</t>
  </si>
  <si>
    <t>GUARANDA</t>
  </si>
  <si>
    <t>BOLÍVAR</t>
  </si>
  <si>
    <t>020151</t>
  </si>
  <si>
    <t>FACUNDO VELA</t>
  </si>
  <si>
    <t>020153</t>
  </si>
  <si>
    <t>JULIO E. MORENO</t>
  </si>
  <si>
    <t>020155</t>
  </si>
  <si>
    <t>SALINAS</t>
  </si>
  <si>
    <t>020156</t>
  </si>
  <si>
    <t>SAN LORENZO</t>
  </si>
  <si>
    <t>020157</t>
  </si>
  <si>
    <t>SAN SIMÓN</t>
  </si>
  <si>
    <t>020158</t>
  </si>
  <si>
    <t>SANTA FE</t>
  </si>
  <si>
    <t>020159</t>
  </si>
  <si>
    <t>SIMIÁTUG</t>
  </si>
  <si>
    <t>020160</t>
  </si>
  <si>
    <t>SAN LUIS DE PAMBIL</t>
  </si>
  <si>
    <t>020250</t>
  </si>
  <si>
    <t>CHILLANES</t>
  </si>
  <si>
    <t>020251</t>
  </si>
  <si>
    <t>SAN JOSÉ DEL TAMBO</t>
  </si>
  <si>
    <t>020350</t>
  </si>
  <si>
    <t>SAN JOSÉ DE CHIMBO</t>
  </si>
  <si>
    <t>020351</t>
  </si>
  <si>
    <t>ASUNCIÓN</t>
  </si>
  <si>
    <t>020353</t>
  </si>
  <si>
    <t>LA MAGDALENA</t>
  </si>
  <si>
    <t>020354</t>
  </si>
  <si>
    <t>SAN SEBASTIÁN</t>
  </si>
  <si>
    <t>020355</t>
  </si>
  <si>
    <t>TELIMBELA</t>
  </si>
  <si>
    <t>020450</t>
  </si>
  <si>
    <t>ECHEANDÍA</t>
  </si>
  <si>
    <t>020550</t>
  </si>
  <si>
    <t>SAN MIGUEL</t>
  </si>
  <si>
    <t>020551</t>
  </si>
  <si>
    <t>BALSAPAMBA</t>
  </si>
  <si>
    <t>020552</t>
  </si>
  <si>
    <t>BILOVÁN</t>
  </si>
  <si>
    <t>020553</t>
  </si>
  <si>
    <t>RÉGULO DE MORA</t>
  </si>
  <si>
    <t>020554</t>
  </si>
  <si>
    <t>SAN PABLO</t>
  </si>
  <si>
    <t>020555</t>
  </si>
  <si>
    <t>SANTIAGO</t>
  </si>
  <si>
    <t>020556</t>
  </si>
  <si>
    <t>020650</t>
  </si>
  <si>
    <t>CALUMA</t>
  </si>
  <si>
    <t>020750</t>
  </si>
  <si>
    <t>LAS NAVES</t>
  </si>
  <si>
    <t>030150</t>
  </si>
  <si>
    <t>AZOGUES</t>
  </si>
  <si>
    <t>CAÑAR</t>
  </si>
  <si>
    <t>030151</t>
  </si>
  <si>
    <t>COJITAMBO</t>
  </si>
  <si>
    <t>030153</t>
  </si>
  <si>
    <t>GUAPÁN</t>
  </si>
  <si>
    <t>030154</t>
  </si>
  <si>
    <t>JAVIER LOYOLA</t>
  </si>
  <si>
    <t>030155</t>
  </si>
  <si>
    <t>LUIS CORDERO</t>
  </si>
  <si>
    <t>030156</t>
  </si>
  <si>
    <t>PINDILIG</t>
  </si>
  <si>
    <t>030157</t>
  </si>
  <si>
    <t>RIVERA</t>
  </si>
  <si>
    <t>030158</t>
  </si>
  <si>
    <t>030160</t>
  </si>
  <si>
    <t>TADAY</t>
  </si>
  <si>
    <t>030250</t>
  </si>
  <si>
    <t>BIBLIÁN</t>
  </si>
  <si>
    <t>030251</t>
  </si>
  <si>
    <t>NAZÓN</t>
  </si>
  <si>
    <t>030252</t>
  </si>
  <si>
    <t>SAN FRANCISCO DE SAGEO</t>
  </si>
  <si>
    <t>030253</t>
  </si>
  <si>
    <t>TURUPAMBA</t>
  </si>
  <si>
    <t>030254</t>
  </si>
  <si>
    <t>JERUSALÉN</t>
  </si>
  <si>
    <t>030350</t>
  </si>
  <si>
    <t>030351</t>
  </si>
  <si>
    <t>CHONTAMARCA</t>
  </si>
  <si>
    <t>030352</t>
  </si>
  <si>
    <t>CHOROCOPTE</t>
  </si>
  <si>
    <t>030353</t>
  </si>
  <si>
    <t>GENERAL MORALES</t>
  </si>
  <si>
    <t>030354</t>
  </si>
  <si>
    <t>GUALLETURO</t>
  </si>
  <si>
    <t>030355</t>
  </si>
  <si>
    <t>HONORATO VÁSQUEZ</t>
  </si>
  <si>
    <t>030356</t>
  </si>
  <si>
    <t>INGAPIRCA</t>
  </si>
  <si>
    <t>030357</t>
  </si>
  <si>
    <t>JUNCAL</t>
  </si>
  <si>
    <t>030358</t>
  </si>
  <si>
    <t>SAN ANTONIO</t>
  </si>
  <si>
    <t>030361</t>
  </si>
  <si>
    <t>ZHUD</t>
  </si>
  <si>
    <t>030362</t>
  </si>
  <si>
    <t>VENTURA</t>
  </si>
  <si>
    <t>030363</t>
  </si>
  <si>
    <t>DUCUR</t>
  </si>
  <si>
    <t>030450</t>
  </si>
  <si>
    <t>LA TRONCAL</t>
  </si>
  <si>
    <t>030451</t>
  </si>
  <si>
    <t>MANUEL J. CALLE</t>
  </si>
  <si>
    <t>030452</t>
  </si>
  <si>
    <t>PANCHO NEGRO</t>
  </si>
  <si>
    <t>030550</t>
  </si>
  <si>
    <t>EL TAMBO</t>
  </si>
  <si>
    <t>030650</t>
  </si>
  <si>
    <t>DÉLEG</t>
  </si>
  <si>
    <t>030651</t>
  </si>
  <si>
    <t>SOLANO</t>
  </si>
  <si>
    <t>030750</t>
  </si>
  <si>
    <t>SUSCAL</t>
  </si>
  <si>
    <t>040150</t>
  </si>
  <si>
    <t>TULCÁN</t>
  </si>
  <si>
    <t>040151</t>
  </si>
  <si>
    <t>EL CARMELO</t>
  </si>
  <si>
    <t>040153</t>
  </si>
  <si>
    <t>JULIO ANDRADE</t>
  </si>
  <si>
    <t>040154</t>
  </si>
  <si>
    <t>MALDONADO</t>
  </si>
  <si>
    <t>040155</t>
  </si>
  <si>
    <t>PIOTER</t>
  </si>
  <si>
    <t>040156</t>
  </si>
  <si>
    <t>TOBAR DONOSO</t>
  </si>
  <si>
    <t>040157</t>
  </si>
  <si>
    <t>TUFIÑO</t>
  </si>
  <si>
    <t>040158</t>
  </si>
  <si>
    <t>URBINA</t>
  </si>
  <si>
    <t>040159</t>
  </si>
  <si>
    <t>EL CHICAL</t>
  </si>
  <si>
    <t>040161</t>
  </si>
  <si>
    <t>SANTA MARTHA DE CUBA</t>
  </si>
  <si>
    <t>040250</t>
  </si>
  <si>
    <t>040251</t>
  </si>
  <si>
    <t>GARCÍA MORENO</t>
  </si>
  <si>
    <t>040252</t>
  </si>
  <si>
    <t>LOS ANDES</t>
  </si>
  <si>
    <t>040253</t>
  </si>
  <si>
    <t>MONTE OLIVO</t>
  </si>
  <si>
    <t>040254</t>
  </si>
  <si>
    <t>SAN VICENTE DE PUSIR</t>
  </si>
  <si>
    <t>040255</t>
  </si>
  <si>
    <t>SAN RAFAEL</t>
  </si>
  <si>
    <t>040350</t>
  </si>
  <si>
    <t>EL ÁNGEL</t>
  </si>
  <si>
    <t>040351</t>
  </si>
  <si>
    <t>EL GOALTAL</t>
  </si>
  <si>
    <t>040352</t>
  </si>
  <si>
    <t>LA LIBERTAD</t>
  </si>
  <si>
    <t>040353</t>
  </si>
  <si>
    <t>SAN ISIDRO</t>
  </si>
  <si>
    <t>040450</t>
  </si>
  <si>
    <t>MIRA</t>
  </si>
  <si>
    <t>040451</t>
  </si>
  <si>
    <t>CONCEPCIÓN</t>
  </si>
  <si>
    <t>040452</t>
  </si>
  <si>
    <t>JIJÓN Y CAAMAÑO</t>
  </si>
  <si>
    <t>040453</t>
  </si>
  <si>
    <t>JUAN MONTALVO</t>
  </si>
  <si>
    <t>040550</t>
  </si>
  <si>
    <t>SAN GABRIEL</t>
  </si>
  <si>
    <t>040551</t>
  </si>
  <si>
    <t>CRISTÓBAL COLÓN</t>
  </si>
  <si>
    <t>040552</t>
  </si>
  <si>
    <t>CHITÁN DE NAVARRETE</t>
  </si>
  <si>
    <t>040553</t>
  </si>
  <si>
    <t>FERNÁNDEZ SALVADOR</t>
  </si>
  <si>
    <t>040554</t>
  </si>
  <si>
    <t>LA PAZ</t>
  </si>
  <si>
    <t>040555</t>
  </si>
  <si>
    <t>PIARTAL</t>
  </si>
  <si>
    <t>040650</t>
  </si>
  <si>
    <t>HUACA</t>
  </si>
  <si>
    <t>040651</t>
  </si>
  <si>
    <t>MARISCAL SUCRE</t>
  </si>
  <si>
    <t>050150</t>
  </si>
  <si>
    <t>LATACUNGA</t>
  </si>
  <si>
    <t>050151</t>
  </si>
  <si>
    <t>ALÁQUEZ</t>
  </si>
  <si>
    <t>050152</t>
  </si>
  <si>
    <t>BELISARIO QUEVEDO</t>
  </si>
  <si>
    <t>050153</t>
  </si>
  <si>
    <t>GUAYTACAMA</t>
  </si>
  <si>
    <t>050154</t>
  </si>
  <si>
    <t>JOSEGUANGO BAJO</t>
  </si>
  <si>
    <t>050156</t>
  </si>
  <si>
    <t>MULALÓ</t>
  </si>
  <si>
    <t>050157</t>
  </si>
  <si>
    <t>ONCE DE NOVIEMBRE</t>
  </si>
  <si>
    <t>050158</t>
  </si>
  <si>
    <t>POALÓ</t>
  </si>
  <si>
    <t>050159</t>
  </si>
  <si>
    <t>SAN JUAN DE PASTOCALLE</t>
  </si>
  <si>
    <t>050161</t>
  </si>
  <si>
    <t>TANICUCHI</t>
  </si>
  <si>
    <t>050162</t>
  </si>
  <si>
    <t>TOACASO</t>
  </si>
  <si>
    <t>050250</t>
  </si>
  <si>
    <t>LA MANÁ</t>
  </si>
  <si>
    <t>050251</t>
  </si>
  <si>
    <t>GUASAGANDA</t>
  </si>
  <si>
    <t>050252</t>
  </si>
  <si>
    <t>PUCAYACU</t>
  </si>
  <si>
    <t>050350</t>
  </si>
  <si>
    <t>EL CORAZÓN</t>
  </si>
  <si>
    <t>050351</t>
  </si>
  <si>
    <t>MORASPUNGO</t>
  </si>
  <si>
    <t>050352</t>
  </si>
  <si>
    <t>PINLLOPATA</t>
  </si>
  <si>
    <t>050353</t>
  </si>
  <si>
    <t>RAMÓN CAMPAÑA</t>
  </si>
  <si>
    <t>050450</t>
  </si>
  <si>
    <t>PUJILÍ</t>
  </si>
  <si>
    <t>050451</t>
  </si>
  <si>
    <t>ANGAMARCA</t>
  </si>
  <si>
    <t>050453</t>
  </si>
  <si>
    <t>GUANGAJE</t>
  </si>
  <si>
    <t>050455</t>
  </si>
  <si>
    <t>LA VICTORIA</t>
  </si>
  <si>
    <t>050456</t>
  </si>
  <si>
    <t>PILALÓ</t>
  </si>
  <si>
    <t>050457</t>
  </si>
  <si>
    <t>TINGO</t>
  </si>
  <si>
    <t>050458</t>
  </si>
  <si>
    <t>ZUMBAHUA</t>
  </si>
  <si>
    <t>050550</t>
  </si>
  <si>
    <t>050551</t>
  </si>
  <si>
    <t>ANTONIO JOSÉ HOLGUÍN</t>
  </si>
  <si>
    <t>050552</t>
  </si>
  <si>
    <t>CUSUBAMBA</t>
  </si>
  <si>
    <t>050553</t>
  </si>
  <si>
    <t>MULALILLO</t>
  </si>
  <si>
    <t>050554</t>
  </si>
  <si>
    <t>MULLIQUINDIL</t>
  </si>
  <si>
    <t>050555</t>
  </si>
  <si>
    <t>PANSALEO</t>
  </si>
  <si>
    <t>050650</t>
  </si>
  <si>
    <t>SAQUISILÍ</t>
  </si>
  <si>
    <t>050651</t>
  </si>
  <si>
    <t>CANCHAGUA</t>
  </si>
  <si>
    <t>050652</t>
  </si>
  <si>
    <t>CHANTILÍN</t>
  </si>
  <si>
    <t>050653</t>
  </si>
  <si>
    <t>COCHAPAMBA</t>
  </si>
  <si>
    <t>050750</t>
  </si>
  <si>
    <t>SIGCHOS</t>
  </si>
  <si>
    <t>050751</t>
  </si>
  <si>
    <t>CHUGCHILLÁN</t>
  </si>
  <si>
    <t>050752</t>
  </si>
  <si>
    <t>ISINLIVI</t>
  </si>
  <si>
    <t>050753</t>
  </si>
  <si>
    <t>LAS PAMPAS</t>
  </si>
  <si>
    <t>050754</t>
  </si>
  <si>
    <t>PALO QUEMADO</t>
  </si>
  <si>
    <t>060150</t>
  </si>
  <si>
    <t>RIOBAMBA</t>
  </si>
  <si>
    <t>060151</t>
  </si>
  <si>
    <t>CACHA</t>
  </si>
  <si>
    <t>060152</t>
  </si>
  <si>
    <t>CALPI</t>
  </si>
  <si>
    <t>060153</t>
  </si>
  <si>
    <t>CUBIJÍES</t>
  </si>
  <si>
    <t>060154</t>
  </si>
  <si>
    <t>FLORES</t>
  </si>
  <si>
    <t>060155</t>
  </si>
  <si>
    <t>LICÁN</t>
  </si>
  <si>
    <t>060156</t>
  </si>
  <si>
    <t>LICTO</t>
  </si>
  <si>
    <t>060157</t>
  </si>
  <si>
    <t>PUNGALÁ</t>
  </si>
  <si>
    <t>060158</t>
  </si>
  <si>
    <t>PUNÍN</t>
  </si>
  <si>
    <t>060159</t>
  </si>
  <si>
    <t>QUIMIAG</t>
  </si>
  <si>
    <t>060160</t>
  </si>
  <si>
    <t>060161</t>
  </si>
  <si>
    <t>SAN LUIS</t>
  </si>
  <si>
    <t>060250</t>
  </si>
  <si>
    <t>ALAUSÍ</t>
  </si>
  <si>
    <t>060251</t>
  </si>
  <si>
    <t>ACHUPALLAS</t>
  </si>
  <si>
    <t>060253</t>
  </si>
  <si>
    <t>GUASUNTOS</t>
  </si>
  <si>
    <t>060254</t>
  </si>
  <si>
    <t>HUIGRA</t>
  </si>
  <si>
    <t>060255</t>
  </si>
  <si>
    <t>MULTITUD</t>
  </si>
  <si>
    <t>060256</t>
  </si>
  <si>
    <t>PISTISHI</t>
  </si>
  <si>
    <t>060257</t>
  </si>
  <si>
    <t>PUMALLACTA</t>
  </si>
  <si>
    <t>060258</t>
  </si>
  <si>
    <t>SEVILLA</t>
  </si>
  <si>
    <t>060259</t>
  </si>
  <si>
    <t>SIBAMBE</t>
  </si>
  <si>
    <t>060260</t>
  </si>
  <si>
    <t>TIXÁN</t>
  </si>
  <si>
    <t>060350</t>
  </si>
  <si>
    <t>VILLA LA UNIÓN</t>
  </si>
  <si>
    <t>060351</t>
  </si>
  <si>
    <t>CAÑI</t>
  </si>
  <si>
    <t>060352</t>
  </si>
  <si>
    <t>COLUMBE</t>
  </si>
  <si>
    <t>060353</t>
  </si>
  <si>
    <t>JUAN DE VELASCO</t>
  </si>
  <si>
    <t>060354</t>
  </si>
  <si>
    <t>SANTIAGO DE QUITO</t>
  </si>
  <si>
    <t>060450</t>
  </si>
  <si>
    <t>CHAMBO</t>
  </si>
  <si>
    <t>060550</t>
  </si>
  <si>
    <t>CHUNCHI</t>
  </si>
  <si>
    <t>060551</t>
  </si>
  <si>
    <t>CAPZOL</t>
  </si>
  <si>
    <t>060552</t>
  </si>
  <si>
    <t>COMPUD</t>
  </si>
  <si>
    <t>060553</t>
  </si>
  <si>
    <t>GONZOL</t>
  </si>
  <si>
    <t>060554</t>
  </si>
  <si>
    <t>LLAGOS</t>
  </si>
  <si>
    <t>060650</t>
  </si>
  <si>
    <t>GUAMOTE</t>
  </si>
  <si>
    <t>060651</t>
  </si>
  <si>
    <t>CEBADAS</t>
  </si>
  <si>
    <t>060652</t>
  </si>
  <si>
    <t>PALMIRA</t>
  </si>
  <si>
    <t>060750</t>
  </si>
  <si>
    <t>GUANO</t>
  </si>
  <si>
    <t>060751</t>
  </si>
  <si>
    <t>GUANANDO</t>
  </si>
  <si>
    <t>060752</t>
  </si>
  <si>
    <t>ILAPO</t>
  </si>
  <si>
    <t>060753</t>
  </si>
  <si>
    <t>LA PROVIDENCIA</t>
  </si>
  <si>
    <t>060754</t>
  </si>
  <si>
    <t>SAN ANDRÉS</t>
  </si>
  <si>
    <t>060755</t>
  </si>
  <si>
    <t>060756</t>
  </si>
  <si>
    <t>SAN ISIDRO DE PATULÚ</t>
  </si>
  <si>
    <t>060757</t>
  </si>
  <si>
    <t>SAN JOSÉ DEL CHAZO</t>
  </si>
  <si>
    <t>060758</t>
  </si>
  <si>
    <t>SANTA FÉ DE GALÁN</t>
  </si>
  <si>
    <t>060759</t>
  </si>
  <si>
    <t>VALPARAISO</t>
  </si>
  <si>
    <t>060850</t>
  </si>
  <si>
    <t>PALLATANGA</t>
  </si>
  <si>
    <t>060950</t>
  </si>
  <si>
    <t>PENIPE</t>
  </si>
  <si>
    <t>060951</t>
  </si>
  <si>
    <t>EL ALTAR</t>
  </si>
  <si>
    <t>060952</t>
  </si>
  <si>
    <t>MATUS</t>
  </si>
  <si>
    <t>060953</t>
  </si>
  <si>
    <t>PUELA</t>
  </si>
  <si>
    <t>060954</t>
  </si>
  <si>
    <t>SAN ANTONIO DE BAYUSHIG</t>
  </si>
  <si>
    <t>060955</t>
  </si>
  <si>
    <t>LA CANDELARIA</t>
  </si>
  <si>
    <t>060956</t>
  </si>
  <si>
    <t>BILBAO</t>
  </si>
  <si>
    <t>061050</t>
  </si>
  <si>
    <t>CUMANDÁ</t>
  </si>
  <si>
    <t>070150</t>
  </si>
  <si>
    <t>MACHALA</t>
  </si>
  <si>
    <t>070152</t>
  </si>
  <si>
    <t>EL RETIRO</t>
  </si>
  <si>
    <t>070250</t>
  </si>
  <si>
    <t>ARENILLAS</t>
  </si>
  <si>
    <t>070251</t>
  </si>
  <si>
    <t>CHACRAS</t>
  </si>
  <si>
    <t>070254</t>
  </si>
  <si>
    <t>PALMALES</t>
  </si>
  <si>
    <t>070255</t>
  </si>
  <si>
    <t>CARCABÓN</t>
  </si>
  <si>
    <t>070256</t>
  </si>
  <si>
    <t>LA CUCA</t>
  </si>
  <si>
    <t>070350</t>
  </si>
  <si>
    <t>ATAHUALPA</t>
  </si>
  <si>
    <t>070351</t>
  </si>
  <si>
    <t>AYAPAMBA</t>
  </si>
  <si>
    <t>070352</t>
  </si>
  <si>
    <t>CORDONCILLO</t>
  </si>
  <si>
    <t>070353</t>
  </si>
  <si>
    <t>MILAGRO</t>
  </si>
  <si>
    <t>070354</t>
  </si>
  <si>
    <t>SAN JOSÉ</t>
  </si>
  <si>
    <t>070355</t>
  </si>
  <si>
    <t>SAN JUAN DE CERRO AZUL</t>
  </si>
  <si>
    <t>070450</t>
  </si>
  <si>
    <t>BALSAS</t>
  </si>
  <si>
    <t>070451</t>
  </si>
  <si>
    <t>BELLAMARÍA</t>
  </si>
  <si>
    <t>070550</t>
  </si>
  <si>
    <t>CHILLA</t>
  </si>
  <si>
    <t>070650</t>
  </si>
  <si>
    <t>EL GUABO</t>
  </si>
  <si>
    <t>070651</t>
  </si>
  <si>
    <t>BARBONES</t>
  </si>
  <si>
    <t>070652</t>
  </si>
  <si>
    <t>LA IBERIA</t>
  </si>
  <si>
    <t>070653</t>
  </si>
  <si>
    <t>TENDALES</t>
  </si>
  <si>
    <t>070654</t>
  </si>
  <si>
    <t>RÍO BONITO</t>
  </si>
  <si>
    <t>070750</t>
  </si>
  <si>
    <t>HUAQUILLAS</t>
  </si>
  <si>
    <t>070850</t>
  </si>
  <si>
    <t>MARCABELÍ</t>
  </si>
  <si>
    <t>070851</t>
  </si>
  <si>
    <t>EL INGENIO</t>
  </si>
  <si>
    <t>070950</t>
  </si>
  <si>
    <t>PASAJE</t>
  </si>
  <si>
    <t>070951</t>
  </si>
  <si>
    <t>BUENAVISTA</t>
  </si>
  <si>
    <t>070952</t>
  </si>
  <si>
    <t>CASACAY</t>
  </si>
  <si>
    <t>070953</t>
  </si>
  <si>
    <t>LA PEAÑA</t>
  </si>
  <si>
    <t>070954</t>
  </si>
  <si>
    <t>PROGRESO</t>
  </si>
  <si>
    <t>070955</t>
  </si>
  <si>
    <t>UZHCURRUMI</t>
  </si>
  <si>
    <t>070956</t>
  </si>
  <si>
    <t>CAÑAQUEMADA</t>
  </si>
  <si>
    <t>071050</t>
  </si>
  <si>
    <t>PIÑAS</t>
  </si>
  <si>
    <t>071051</t>
  </si>
  <si>
    <t>CAPIRO</t>
  </si>
  <si>
    <t>071052</t>
  </si>
  <si>
    <t>LA BOCANA</t>
  </si>
  <si>
    <t>071053</t>
  </si>
  <si>
    <t>MOROMORO</t>
  </si>
  <si>
    <t>071054</t>
  </si>
  <si>
    <t>PIEDRAS</t>
  </si>
  <si>
    <t>071055</t>
  </si>
  <si>
    <t>SAN ROQUE</t>
  </si>
  <si>
    <t>071056</t>
  </si>
  <si>
    <t>SARACAY</t>
  </si>
  <si>
    <t>071150</t>
  </si>
  <si>
    <t>PORTOVELO</t>
  </si>
  <si>
    <t>071151</t>
  </si>
  <si>
    <t>CURTINCAPA</t>
  </si>
  <si>
    <t>071152</t>
  </si>
  <si>
    <t>MORALES</t>
  </si>
  <si>
    <t>071153</t>
  </si>
  <si>
    <t>SALATÍ</t>
  </si>
  <si>
    <t>071250</t>
  </si>
  <si>
    <t>SANTA ROSA</t>
  </si>
  <si>
    <t>071251</t>
  </si>
  <si>
    <t>BELLAVISTA</t>
  </si>
  <si>
    <t>071252</t>
  </si>
  <si>
    <t>JAMBELÍ</t>
  </si>
  <si>
    <t>071253</t>
  </si>
  <si>
    <t>LA AVANZADA</t>
  </si>
  <si>
    <t>071254</t>
  </si>
  <si>
    <t>071255</t>
  </si>
  <si>
    <t>TORATA</t>
  </si>
  <si>
    <t>071256</t>
  </si>
  <si>
    <t>VICTORIA</t>
  </si>
  <si>
    <t>071257</t>
  </si>
  <si>
    <t>071350</t>
  </si>
  <si>
    <t>ZARUMA</t>
  </si>
  <si>
    <t>071351</t>
  </si>
  <si>
    <t>ABAÑÍN</t>
  </si>
  <si>
    <t>071352</t>
  </si>
  <si>
    <t>ARCAPAMBA</t>
  </si>
  <si>
    <t>071353</t>
  </si>
  <si>
    <t>GUANAZÁN</t>
  </si>
  <si>
    <t>071354</t>
  </si>
  <si>
    <t>GUIZHAGUIÑA</t>
  </si>
  <si>
    <t>071355</t>
  </si>
  <si>
    <t>HUERTAS</t>
  </si>
  <si>
    <t>071356</t>
  </si>
  <si>
    <t>MALVAS</t>
  </si>
  <si>
    <t>071357</t>
  </si>
  <si>
    <t>MULUNCAY GRANDE</t>
  </si>
  <si>
    <t>071358</t>
  </si>
  <si>
    <t>SINSAO</t>
  </si>
  <si>
    <t>071359</t>
  </si>
  <si>
    <t>SALVIAS</t>
  </si>
  <si>
    <t>071450</t>
  </si>
  <si>
    <t>071451</t>
  </si>
  <si>
    <t>071452</t>
  </si>
  <si>
    <t>EL PARAÍSO</t>
  </si>
  <si>
    <t>071453</t>
  </si>
  <si>
    <t>080150</t>
  </si>
  <si>
    <t>ESMERALDAS</t>
  </si>
  <si>
    <t>080152</t>
  </si>
  <si>
    <t>CAMARONES</t>
  </si>
  <si>
    <t>080153</t>
  </si>
  <si>
    <t>CORONEL CARLOS CONCHA TORRES</t>
  </si>
  <si>
    <t>080154</t>
  </si>
  <si>
    <t>CHINCA</t>
  </si>
  <si>
    <t>080159</t>
  </si>
  <si>
    <t>MAJUA</t>
  </si>
  <si>
    <t>080163</t>
  </si>
  <si>
    <t>SAN MATEO</t>
  </si>
  <si>
    <t>080165</t>
  </si>
  <si>
    <t>TABIAZO</t>
  </si>
  <si>
    <t>080166</t>
  </si>
  <si>
    <t>TACHINA</t>
  </si>
  <si>
    <t>080168</t>
  </si>
  <si>
    <t>VUELTA LARGA</t>
  </si>
  <si>
    <t>080250</t>
  </si>
  <si>
    <t>VALDEZ</t>
  </si>
  <si>
    <t>ELOY ALFARO</t>
  </si>
  <si>
    <t>080251</t>
  </si>
  <si>
    <t>ANCHAYACU</t>
  </si>
  <si>
    <t>080252</t>
  </si>
  <si>
    <t>080253</t>
  </si>
  <si>
    <t>BORBÓN</t>
  </si>
  <si>
    <t>080254</t>
  </si>
  <si>
    <t>LA TOLA</t>
  </si>
  <si>
    <t>080255</t>
  </si>
  <si>
    <t>LUIS VARGAS TORRES</t>
  </si>
  <si>
    <t>080256</t>
  </si>
  <si>
    <t>080257</t>
  </si>
  <si>
    <t>PAMPANAL DE BOLÍVAR</t>
  </si>
  <si>
    <t>080258</t>
  </si>
  <si>
    <t>SAN FRANCISCO DE ONZOLE</t>
  </si>
  <si>
    <t>080259</t>
  </si>
  <si>
    <t>SANTO DOMINGO DE ONZOLE</t>
  </si>
  <si>
    <t>080260</t>
  </si>
  <si>
    <t>SELVA ALEGRE</t>
  </si>
  <si>
    <t>080261</t>
  </si>
  <si>
    <t>TELEMBÍ</t>
  </si>
  <si>
    <t>080262</t>
  </si>
  <si>
    <t>COLÓN ELOY DEL MARÍA</t>
  </si>
  <si>
    <t>080263</t>
  </si>
  <si>
    <t>SAN JOSÉ DE CAYAPAS</t>
  </si>
  <si>
    <t>080264</t>
  </si>
  <si>
    <t>TIMBIRÉ</t>
  </si>
  <si>
    <t>080265</t>
  </si>
  <si>
    <t>SANTA LUCÍA DE LAS PEÑAS</t>
  </si>
  <si>
    <t>080350</t>
  </si>
  <si>
    <t>MUISNE</t>
  </si>
  <si>
    <t>080351</t>
  </si>
  <si>
    <t>080352</t>
  </si>
  <si>
    <t>DAULE</t>
  </si>
  <si>
    <t>080353</t>
  </si>
  <si>
    <t>GALERA</t>
  </si>
  <si>
    <t>080354</t>
  </si>
  <si>
    <t>QUINGUE</t>
  </si>
  <si>
    <t>080355</t>
  </si>
  <si>
    <t>SÁLIMA</t>
  </si>
  <si>
    <t>080356</t>
  </si>
  <si>
    <t>SAN FRANCISCO</t>
  </si>
  <si>
    <t>080357</t>
  </si>
  <si>
    <t>SAN GREGORIO</t>
  </si>
  <si>
    <t>080358</t>
  </si>
  <si>
    <t>SAN JOSÉ DE CHAMANGA</t>
  </si>
  <si>
    <t>080450</t>
  </si>
  <si>
    <t>ROSA ZÁRATE</t>
  </si>
  <si>
    <t>080451</t>
  </si>
  <si>
    <t>CUBE</t>
  </si>
  <si>
    <t>080452</t>
  </si>
  <si>
    <t>CHURA</t>
  </si>
  <si>
    <t>080453</t>
  </si>
  <si>
    <t>MALIMPIA</t>
  </si>
  <si>
    <t>080454</t>
  </si>
  <si>
    <t>VICHE</t>
  </si>
  <si>
    <t>080455</t>
  </si>
  <si>
    <t>080550</t>
  </si>
  <si>
    <t>080551</t>
  </si>
  <si>
    <t>ALTO TAMBO</t>
  </si>
  <si>
    <t>080552</t>
  </si>
  <si>
    <t>ANCÓN</t>
  </si>
  <si>
    <t>080553</t>
  </si>
  <si>
    <t>CALDERÓN</t>
  </si>
  <si>
    <t>080554</t>
  </si>
  <si>
    <t>CARONDELET</t>
  </si>
  <si>
    <t>080555</t>
  </si>
  <si>
    <t>5 DE JUNIO</t>
  </si>
  <si>
    <t>080556</t>
  </si>
  <si>
    <t>080557</t>
  </si>
  <si>
    <t>MATAJE</t>
  </si>
  <si>
    <t>080558</t>
  </si>
  <si>
    <t>SAN JAVIER DE CACHAVÍ</t>
  </si>
  <si>
    <t>080559</t>
  </si>
  <si>
    <t>SANTA RITA</t>
  </si>
  <si>
    <t>080560</t>
  </si>
  <si>
    <t>TAMBILLO</t>
  </si>
  <si>
    <t>080561</t>
  </si>
  <si>
    <t>TULULBÍ</t>
  </si>
  <si>
    <t>080562</t>
  </si>
  <si>
    <t>080650</t>
  </si>
  <si>
    <t>ATACAMES</t>
  </si>
  <si>
    <t>080651</t>
  </si>
  <si>
    <t>080652</t>
  </si>
  <si>
    <t>SÚA</t>
  </si>
  <si>
    <t>080653</t>
  </si>
  <si>
    <t>TONCHIGÜE</t>
  </si>
  <si>
    <t>080654</t>
  </si>
  <si>
    <t>TONSUPA</t>
  </si>
  <si>
    <t>080750</t>
  </si>
  <si>
    <t>RIOVERDE</t>
  </si>
  <si>
    <t>080751</t>
  </si>
  <si>
    <t>CHONTADURO</t>
  </si>
  <si>
    <t>080752</t>
  </si>
  <si>
    <t>CHUMUNDÉ</t>
  </si>
  <si>
    <t>080753</t>
  </si>
  <si>
    <t>LAGARTO</t>
  </si>
  <si>
    <t>080754</t>
  </si>
  <si>
    <t>MONTALVO</t>
  </si>
  <si>
    <t>080755</t>
  </si>
  <si>
    <t>ROCAFUERTE</t>
  </si>
  <si>
    <t>090150</t>
  </si>
  <si>
    <t>GUAYAQUIL</t>
  </si>
  <si>
    <t>GUAYAS</t>
  </si>
  <si>
    <t>090152</t>
  </si>
  <si>
    <t>JUAN GÓMEZ RENDÓN</t>
  </si>
  <si>
    <t>090153</t>
  </si>
  <si>
    <t>MORRO</t>
  </si>
  <si>
    <t>090156</t>
  </si>
  <si>
    <t>POSORJA</t>
  </si>
  <si>
    <t>090157</t>
  </si>
  <si>
    <t>PUNÁ</t>
  </si>
  <si>
    <t>090158</t>
  </si>
  <si>
    <t>TENGUEL</t>
  </si>
  <si>
    <t>090250</t>
  </si>
  <si>
    <t>ALFREDO BAQUERIZO MORENO (JUJÁN)</t>
  </si>
  <si>
    <t>090350</t>
  </si>
  <si>
    <t>BALAO</t>
  </si>
  <si>
    <t>090450</t>
  </si>
  <si>
    <t>BALZAR</t>
  </si>
  <si>
    <t>090550</t>
  </si>
  <si>
    <t>COLIMES</t>
  </si>
  <si>
    <t>090551</t>
  </si>
  <si>
    <t>SAN JACINTO</t>
  </si>
  <si>
    <t>090650</t>
  </si>
  <si>
    <t>090652</t>
  </si>
  <si>
    <t>JUAN BAUTISTA AGUIRRE</t>
  </si>
  <si>
    <t>090653</t>
  </si>
  <si>
    <t>LAUREL</t>
  </si>
  <si>
    <t>090654</t>
  </si>
  <si>
    <t>LIMONAL</t>
  </si>
  <si>
    <t>090656</t>
  </si>
  <si>
    <t>LOS LOJAS</t>
  </si>
  <si>
    <t>090750</t>
  </si>
  <si>
    <t>090850</t>
  </si>
  <si>
    <t>VELASCO IBARRA</t>
  </si>
  <si>
    <t>090851</t>
  </si>
  <si>
    <t>090852</t>
  </si>
  <si>
    <t>EL ROSARIO</t>
  </si>
  <si>
    <t>090950</t>
  </si>
  <si>
    <t>EL TRIUNFO</t>
  </si>
  <si>
    <t>091050</t>
  </si>
  <si>
    <t>091051</t>
  </si>
  <si>
    <t>CHOBO</t>
  </si>
  <si>
    <t>091053</t>
  </si>
  <si>
    <t>091054</t>
  </si>
  <si>
    <t>ROBERTO ASTUDILLO</t>
  </si>
  <si>
    <t>091150</t>
  </si>
  <si>
    <t>NARANJAL</t>
  </si>
  <si>
    <t>091151</t>
  </si>
  <si>
    <t>JESÚS MARÍA</t>
  </si>
  <si>
    <t>091152</t>
  </si>
  <si>
    <t>SAN CARLOS</t>
  </si>
  <si>
    <t>091153</t>
  </si>
  <si>
    <t>SANTA ROSA DE FLANDES</t>
  </si>
  <si>
    <t>091154</t>
  </si>
  <si>
    <t>TAURA</t>
  </si>
  <si>
    <t>091250</t>
  </si>
  <si>
    <t>NARANJITO</t>
  </si>
  <si>
    <t>091350</t>
  </si>
  <si>
    <t>PALESTINA</t>
  </si>
  <si>
    <t>091450</t>
  </si>
  <si>
    <t>PEDRO CARBO</t>
  </si>
  <si>
    <t>091451</t>
  </si>
  <si>
    <t>VALLE DE LA VIRGEN</t>
  </si>
  <si>
    <t>091452</t>
  </si>
  <si>
    <t>SABANILLA</t>
  </si>
  <si>
    <t>091650</t>
  </si>
  <si>
    <t>SAMBORONDÓN</t>
  </si>
  <si>
    <t>091651</t>
  </si>
  <si>
    <t>TARIFA</t>
  </si>
  <si>
    <t>091850</t>
  </si>
  <si>
    <t>SANTA LUCÍA</t>
  </si>
  <si>
    <t>091950</t>
  </si>
  <si>
    <t>EL SALITRE</t>
  </si>
  <si>
    <t>091951</t>
  </si>
  <si>
    <t>GENERAL VERNAZA</t>
  </si>
  <si>
    <t>091952</t>
  </si>
  <si>
    <t>091953</t>
  </si>
  <si>
    <t>JUNQUILLAL</t>
  </si>
  <si>
    <t>092050</t>
  </si>
  <si>
    <t>SAN JACINTO DE YAGUACHI</t>
  </si>
  <si>
    <t>092053</t>
  </si>
  <si>
    <t>GENERAL PEDRO J. MONTERO</t>
  </si>
  <si>
    <t>092055</t>
  </si>
  <si>
    <t>YAGUACHI VIEJO</t>
  </si>
  <si>
    <t>092056</t>
  </si>
  <si>
    <t>VIRGEN DE FÁTIMA</t>
  </si>
  <si>
    <t>092150</t>
  </si>
  <si>
    <t>GENERAL VILLAMIL</t>
  </si>
  <si>
    <t>092250</t>
  </si>
  <si>
    <t>092251</t>
  </si>
  <si>
    <t>CORONEL LORENZO DE GARAYCOA</t>
  </si>
  <si>
    <t>092350</t>
  </si>
  <si>
    <t>CORONEL MARCELINO MARIDUEÑA</t>
  </si>
  <si>
    <t>092450</t>
  </si>
  <si>
    <t>LOMAS DE SARGENTILLO</t>
  </si>
  <si>
    <t>092550</t>
  </si>
  <si>
    <t>NARCISA DE JESÚS</t>
  </si>
  <si>
    <t>092750</t>
  </si>
  <si>
    <t>GENERAL ANTONIO ELIZALDE</t>
  </si>
  <si>
    <t>092850</t>
  </si>
  <si>
    <t>ISIDRO AYORA</t>
  </si>
  <si>
    <t>100150</t>
  </si>
  <si>
    <t>SAN MIGUEL DE IBARRA</t>
  </si>
  <si>
    <t>100151</t>
  </si>
  <si>
    <t>AMBUQUÍ</t>
  </si>
  <si>
    <t>100152</t>
  </si>
  <si>
    <t>ANGOCHAGUA</t>
  </si>
  <si>
    <t>100153</t>
  </si>
  <si>
    <t>LA CAROLINA</t>
  </si>
  <si>
    <t>100154</t>
  </si>
  <si>
    <t>LA ESPERANZA</t>
  </si>
  <si>
    <t>100155</t>
  </si>
  <si>
    <t>LITA</t>
  </si>
  <si>
    <t>100156</t>
  </si>
  <si>
    <t>100157</t>
  </si>
  <si>
    <t>100250</t>
  </si>
  <si>
    <t>ATUNTAQUI</t>
  </si>
  <si>
    <t>100251</t>
  </si>
  <si>
    <t>IMBAYA</t>
  </si>
  <si>
    <t>100252</t>
  </si>
  <si>
    <t>SAN FRANCISCO DE NATABUELA</t>
  </si>
  <si>
    <t>100253</t>
  </si>
  <si>
    <t>SAN JOSÉ DE CHALTURA</t>
  </si>
  <si>
    <t>100254</t>
  </si>
  <si>
    <t>100350</t>
  </si>
  <si>
    <t>COTACACHI</t>
  </si>
  <si>
    <t>100351</t>
  </si>
  <si>
    <t>APUELA</t>
  </si>
  <si>
    <t>100352</t>
  </si>
  <si>
    <t>100353</t>
  </si>
  <si>
    <t>IMANTAG</t>
  </si>
  <si>
    <t>100354</t>
  </si>
  <si>
    <t>PEÑAHERRERA</t>
  </si>
  <si>
    <t>100355</t>
  </si>
  <si>
    <t>PLAZA GUTIÉRREZ</t>
  </si>
  <si>
    <t>100356</t>
  </si>
  <si>
    <t>QUIROGA</t>
  </si>
  <si>
    <t>100357</t>
  </si>
  <si>
    <t>SEIS DE JULIO DE CUELLAJE</t>
  </si>
  <si>
    <t>100358</t>
  </si>
  <si>
    <t>VACAS GALINDO</t>
  </si>
  <si>
    <t>100450</t>
  </si>
  <si>
    <t>OTAVALO</t>
  </si>
  <si>
    <t>100451</t>
  </si>
  <si>
    <t>DR. MIGUEL EGAS CABEZAS</t>
  </si>
  <si>
    <t>100452</t>
  </si>
  <si>
    <t>EUGENIO ESPEJO</t>
  </si>
  <si>
    <t>100453</t>
  </si>
  <si>
    <t>GONZÁLEZ SUÁREZ</t>
  </si>
  <si>
    <t>100454</t>
  </si>
  <si>
    <t>PATAQUÍ</t>
  </si>
  <si>
    <t>100455</t>
  </si>
  <si>
    <t>SAN JOSÉ DE QUICHINCHE</t>
  </si>
  <si>
    <t>100456</t>
  </si>
  <si>
    <t>SAN JUAN DE ILUMÁN</t>
  </si>
  <si>
    <t>100457</t>
  </si>
  <si>
    <t>100458</t>
  </si>
  <si>
    <t>100459</t>
  </si>
  <si>
    <t>100550</t>
  </si>
  <si>
    <t>PIMAMPIRO</t>
  </si>
  <si>
    <t>100551</t>
  </si>
  <si>
    <t>CHUGÁ</t>
  </si>
  <si>
    <t>100552</t>
  </si>
  <si>
    <t>MARIANO ACOSTA</t>
  </si>
  <si>
    <t>100553</t>
  </si>
  <si>
    <t>SAN FRANCISCO DE SIGSIPAMBA</t>
  </si>
  <si>
    <t>100650</t>
  </si>
  <si>
    <t>URCUQUÍ</t>
  </si>
  <si>
    <t>100651</t>
  </si>
  <si>
    <t>CAHUASQUÍ</t>
  </si>
  <si>
    <t>100652</t>
  </si>
  <si>
    <t>LA MERCED DE BUENOS AIRES</t>
  </si>
  <si>
    <t>100653</t>
  </si>
  <si>
    <t>PABLO ARENAS</t>
  </si>
  <si>
    <t>100654</t>
  </si>
  <si>
    <t>SAN BLAS</t>
  </si>
  <si>
    <t>100655</t>
  </si>
  <si>
    <t>TUMBABIRO</t>
  </si>
  <si>
    <t>110150</t>
  </si>
  <si>
    <t>LOJA</t>
  </si>
  <si>
    <t>110151</t>
  </si>
  <si>
    <t>CHANTACO</t>
  </si>
  <si>
    <t>110152</t>
  </si>
  <si>
    <t>CHUQUIRIBAMBA</t>
  </si>
  <si>
    <t>110153</t>
  </si>
  <si>
    <t>EL CISNE</t>
  </si>
  <si>
    <t>110154</t>
  </si>
  <si>
    <t>GUALEL</t>
  </si>
  <si>
    <t>110155</t>
  </si>
  <si>
    <t>JIMBILLA</t>
  </si>
  <si>
    <t>110156</t>
  </si>
  <si>
    <t>MALACATOS</t>
  </si>
  <si>
    <t>110157</t>
  </si>
  <si>
    <t>SAN LUCAS</t>
  </si>
  <si>
    <t>110158</t>
  </si>
  <si>
    <t>SAN PEDRO DE VILCABAMBA</t>
  </si>
  <si>
    <t>110159</t>
  </si>
  <si>
    <t>110160</t>
  </si>
  <si>
    <t>TAQUIL</t>
  </si>
  <si>
    <t>110161</t>
  </si>
  <si>
    <t>VILCABAMBA</t>
  </si>
  <si>
    <t>110162</t>
  </si>
  <si>
    <t>YANGANA</t>
  </si>
  <si>
    <t>110163</t>
  </si>
  <si>
    <t>QUINARA</t>
  </si>
  <si>
    <t>110250</t>
  </si>
  <si>
    <t>CARIAMANGA</t>
  </si>
  <si>
    <t>110251</t>
  </si>
  <si>
    <t>COLAISACA</t>
  </si>
  <si>
    <t>110252</t>
  </si>
  <si>
    <t>EL LUCERO</t>
  </si>
  <si>
    <t>110253</t>
  </si>
  <si>
    <t>UTUANA</t>
  </si>
  <si>
    <t>110254</t>
  </si>
  <si>
    <t>SANGUILLÍN</t>
  </si>
  <si>
    <t>110350</t>
  </si>
  <si>
    <t>CATAMAYO</t>
  </si>
  <si>
    <t>110351</t>
  </si>
  <si>
    <t>110352</t>
  </si>
  <si>
    <t>GUAYQUICHUMA</t>
  </si>
  <si>
    <t>110353</t>
  </si>
  <si>
    <t>SAN PEDRO DE LA BENDITA</t>
  </si>
  <si>
    <t>110354</t>
  </si>
  <si>
    <t>ZAMBI</t>
  </si>
  <si>
    <t>110450</t>
  </si>
  <si>
    <t>CELICA</t>
  </si>
  <si>
    <t>110451</t>
  </si>
  <si>
    <t>CRUZPAMBA</t>
  </si>
  <si>
    <t>110455</t>
  </si>
  <si>
    <t>PÓZUL</t>
  </si>
  <si>
    <t>110456</t>
  </si>
  <si>
    <t>110457</t>
  </si>
  <si>
    <t>TENIENTE MAXIMILIANO RODRÍGUEZ LOAIZA</t>
  </si>
  <si>
    <t>110550</t>
  </si>
  <si>
    <t>CHAGUARPAMBA</t>
  </si>
  <si>
    <t>110551</t>
  </si>
  <si>
    <t>110552</t>
  </si>
  <si>
    <t>110553</t>
  </si>
  <si>
    <t>SANTA RUFINA</t>
  </si>
  <si>
    <t>110554</t>
  </si>
  <si>
    <t>AMARILLOS</t>
  </si>
  <si>
    <t>110650</t>
  </si>
  <si>
    <t>110651</t>
  </si>
  <si>
    <t>110652</t>
  </si>
  <si>
    <t>JIMBURA</t>
  </si>
  <si>
    <t>110653</t>
  </si>
  <si>
    <t>SANTA TERESITA</t>
  </si>
  <si>
    <t>110654</t>
  </si>
  <si>
    <t>27 DE ABRIL</t>
  </si>
  <si>
    <t>110655</t>
  </si>
  <si>
    <t>110656</t>
  </si>
  <si>
    <t>EL AIRO</t>
  </si>
  <si>
    <t>110750</t>
  </si>
  <si>
    <t>GONZANAMÁ</t>
  </si>
  <si>
    <t>110751</t>
  </si>
  <si>
    <t>CHANGAIMINA</t>
  </si>
  <si>
    <t>110753</t>
  </si>
  <si>
    <t>NAMBACOLA</t>
  </si>
  <si>
    <t>110754</t>
  </si>
  <si>
    <t>PURUNUMA</t>
  </si>
  <si>
    <t>110756</t>
  </si>
  <si>
    <t>SACAPALCA</t>
  </si>
  <si>
    <t>110850</t>
  </si>
  <si>
    <t>MACARÁ</t>
  </si>
  <si>
    <t>110851</t>
  </si>
  <si>
    <t>LARAMA</t>
  </si>
  <si>
    <t>110852</t>
  </si>
  <si>
    <t>110853</t>
  </si>
  <si>
    <t>SABIANGO</t>
  </si>
  <si>
    <t>110950</t>
  </si>
  <si>
    <t>CATACOCHA</t>
  </si>
  <si>
    <t>110951</t>
  </si>
  <si>
    <t>CANGONAMÁ</t>
  </si>
  <si>
    <t>110952</t>
  </si>
  <si>
    <t>GUACHANAMÁ</t>
  </si>
  <si>
    <t>110954</t>
  </si>
  <si>
    <t>LAURO GUERRERO</t>
  </si>
  <si>
    <t>110956</t>
  </si>
  <si>
    <t>ORIANGA</t>
  </si>
  <si>
    <t>110957</t>
  </si>
  <si>
    <t>110958</t>
  </si>
  <si>
    <t>CASANGA</t>
  </si>
  <si>
    <t>110959</t>
  </si>
  <si>
    <t>YAMANA</t>
  </si>
  <si>
    <t>111050</t>
  </si>
  <si>
    <t>ALAMOR</t>
  </si>
  <si>
    <t>111051</t>
  </si>
  <si>
    <t>CIANO</t>
  </si>
  <si>
    <t>111052</t>
  </si>
  <si>
    <t>EL ARENAL</t>
  </si>
  <si>
    <t>111053</t>
  </si>
  <si>
    <t>EL LIMO</t>
  </si>
  <si>
    <t>111054</t>
  </si>
  <si>
    <t>MERCADILLO</t>
  </si>
  <si>
    <t>111055</t>
  </si>
  <si>
    <t>VICENTINO</t>
  </si>
  <si>
    <t>111150</t>
  </si>
  <si>
    <t>SARAGURO</t>
  </si>
  <si>
    <t>111151</t>
  </si>
  <si>
    <t>EL PARAÍSO DE CELEN</t>
  </si>
  <si>
    <t>111152</t>
  </si>
  <si>
    <t>EL TABLÓN</t>
  </si>
  <si>
    <t>111153</t>
  </si>
  <si>
    <t>LLUZHAPA</t>
  </si>
  <si>
    <t>111154</t>
  </si>
  <si>
    <t>MANÚ</t>
  </si>
  <si>
    <t>111155</t>
  </si>
  <si>
    <t>SAN ANTONIO DE QUMBE</t>
  </si>
  <si>
    <t>111156</t>
  </si>
  <si>
    <t>SAN PABLO DE TENTA</t>
  </si>
  <si>
    <t>111157</t>
  </si>
  <si>
    <t>SAN SEBASTIÁN DE YÚLUC</t>
  </si>
  <si>
    <t>111158</t>
  </si>
  <si>
    <t>111159</t>
  </si>
  <si>
    <t>URDANETA</t>
  </si>
  <si>
    <t>111160</t>
  </si>
  <si>
    <t>SUMAYPAMBA</t>
  </si>
  <si>
    <t>111250</t>
  </si>
  <si>
    <t>SOZORANGA</t>
  </si>
  <si>
    <t>111251</t>
  </si>
  <si>
    <t>NUEVA FÁTIMA</t>
  </si>
  <si>
    <t>111252</t>
  </si>
  <si>
    <t>TACAMOROS</t>
  </si>
  <si>
    <t>111350</t>
  </si>
  <si>
    <t>ZAPOTILLO</t>
  </si>
  <si>
    <t>111351</t>
  </si>
  <si>
    <t>MANGAHURCO</t>
  </si>
  <si>
    <t>111352</t>
  </si>
  <si>
    <t>GARZAREAL</t>
  </si>
  <si>
    <t>111353</t>
  </si>
  <si>
    <t>LIMONES</t>
  </si>
  <si>
    <t>111354</t>
  </si>
  <si>
    <t>PALETILLAS</t>
  </si>
  <si>
    <t>111355</t>
  </si>
  <si>
    <t>BOLASPAMBA</t>
  </si>
  <si>
    <t>111356</t>
  </si>
  <si>
    <t>CAZADEROS</t>
  </si>
  <si>
    <t>111450</t>
  </si>
  <si>
    <t>PINDAL</t>
  </si>
  <si>
    <t>111451</t>
  </si>
  <si>
    <t>CHAQUINAL</t>
  </si>
  <si>
    <t>111452</t>
  </si>
  <si>
    <t>12 DE DICIEMBRE</t>
  </si>
  <si>
    <t>111453</t>
  </si>
  <si>
    <t>MILAGROS</t>
  </si>
  <si>
    <t>111550</t>
  </si>
  <si>
    <t>QUILANGA</t>
  </si>
  <si>
    <t>111551</t>
  </si>
  <si>
    <t>FUNDOCHAMBA</t>
  </si>
  <si>
    <t>111552</t>
  </si>
  <si>
    <t>SAN ANTONIO DE LAS ARADAS</t>
  </si>
  <si>
    <t>111650</t>
  </si>
  <si>
    <t>OLMEDO</t>
  </si>
  <si>
    <t>111651</t>
  </si>
  <si>
    <t>LA TINGUE</t>
  </si>
  <si>
    <t>120150</t>
  </si>
  <si>
    <t>BABAHOYO</t>
  </si>
  <si>
    <t>120152</t>
  </si>
  <si>
    <t>CARACOL</t>
  </si>
  <si>
    <t>120153</t>
  </si>
  <si>
    <t>FEBRES CORDERO</t>
  </si>
  <si>
    <t>120154</t>
  </si>
  <si>
    <t>PIMOCHA</t>
  </si>
  <si>
    <t>120155</t>
  </si>
  <si>
    <t>120250</t>
  </si>
  <si>
    <t>BABA</t>
  </si>
  <si>
    <t>120251</t>
  </si>
  <si>
    <t>GUARE</t>
  </si>
  <si>
    <t>120252</t>
  </si>
  <si>
    <t>ISLA DE BEJUCAL</t>
  </si>
  <si>
    <t>120350</t>
  </si>
  <si>
    <t>120351</t>
  </si>
  <si>
    <t>LA ESMERALDA</t>
  </si>
  <si>
    <t>120450</t>
  </si>
  <si>
    <t>PUEBLOVIEJO</t>
  </si>
  <si>
    <t>120451</t>
  </si>
  <si>
    <t>PUERTO PECHICHE</t>
  </si>
  <si>
    <t>120452</t>
  </si>
  <si>
    <t>120550</t>
  </si>
  <si>
    <t>QUEVEDO</t>
  </si>
  <si>
    <t>120553</t>
  </si>
  <si>
    <t>120555</t>
  </si>
  <si>
    <t>120650</t>
  </si>
  <si>
    <t>CATARAMA</t>
  </si>
  <si>
    <t>120651</t>
  </si>
  <si>
    <t>120750</t>
  </si>
  <si>
    <t>VENTANAS</t>
  </si>
  <si>
    <t>120752</t>
  </si>
  <si>
    <t>ZAPOTAL</t>
  </si>
  <si>
    <t>120753</t>
  </si>
  <si>
    <t>CHACARITA</t>
  </si>
  <si>
    <t>120754</t>
  </si>
  <si>
    <t>LOS ÁNGELES</t>
  </si>
  <si>
    <t>120850</t>
  </si>
  <si>
    <t>VINCES</t>
  </si>
  <si>
    <t>120851</t>
  </si>
  <si>
    <t>ANTONIO SOTOMAYOR</t>
  </si>
  <si>
    <t>120950</t>
  </si>
  <si>
    <t>PALENQUE</t>
  </si>
  <si>
    <t>121050</t>
  </si>
  <si>
    <t>SAN JACINTO DE BUENA FE</t>
  </si>
  <si>
    <t>121051</t>
  </si>
  <si>
    <t>PATRICIA PILAR</t>
  </si>
  <si>
    <t>121150</t>
  </si>
  <si>
    <t>VALENCIA</t>
  </si>
  <si>
    <t>121250</t>
  </si>
  <si>
    <t>MOCACHE</t>
  </si>
  <si>
    <t>121350</t>
  </si>
  <si>
    <t>QUINSALOMA</t>
  </si>
  <si>
    <t>130150</t>
  </si>
  <si>
    <t>PORTOVIEJO</t>
  </si>
  <si>
    <t>130151</t>
  </si>
  <si>
    <t>130152</t>
  </si>
  <si>
    <t>ALHAJUELA</t>
  </si>
  <si>
    <t>130153</t>
  </si>
  <si>
    <t>CRUCITA</t>
  </si>
  <si>
    <t>130154</t>
  </si>
  <si>
    <t>PUEBLO NUEVO</t>
  </si>
  <si>
    <t>130155</t>
  </si>
  <si>
    <t>RIOCHICO</t>
  </si>
  <si>
    <t>130156</t>
  </si>
  <si>
    <t>SAN PLÁCIDO</t>
  </si>
  <si>
    <t>130157</t>
  </si>
  <si>
    <t>CHIRIJOS</t>
  </si>
  <si>
    <t>130250</t>
  </si>
  <si>
    <t>CALCETA</t>
  </si>
  <si>
    <t>130251</t>
  </si>
  <si>
    <t>MEMBRILLO</t>
  </si>
  <si>
    <t>130252</t>
  </si>
  <si>
    <t>130350</t>
  </si>
  <si>
    <t>CHONE</t>
  </si>
  <si>
    <t>130351</t>
  </si>
  <si>
    <t>BOYACÁ</t>
  </si>
  <si>
    <t>130352</t>
  </si>
  <si>
    <t>CANUTO</t>
  </si>
  <si>
    <t>130353</t>
  </si>
  <si>
    <t>CONVENTO</t>
  </si>
  <si>
    <t>130354</t>
  </si>
  <si>
    <t>CHIBUNGA</t>
  </si>
  <si>
    <t>130355</t>
  </si>
  <si>
    <t>130356</t>
  </si>
  <si>
    <t>130357</t>
  </si>
  <si>
    <t>130450</t>
  </si>
  <si>
    <t>EL CARMEN</t>
  </si>
  <si>
    <t>130451</t>
  </si>
  <si>
    <t>WILFRIDO LOOR MOREIRA</t>
  </si>
  <si>
    <t>130452</t>
  </si>
  <si>
    <t>SAN PEDRO DE SUMA</t>
  </si>
  <si>
    <t>130453</t>
  </si>
  <si>
    <t>SANTA MARÍA</t>
  </si>
  <si>
    <t>130454</t>
  </si>
  <si>
    <t>EL PARAÍSO LA 14</t>
  </si>
  <si>
    <t>130550</t>
  </si>
  <si>
    <t>FLAVIO ALFARO</t>
  </si>
  <si>
    <t>130551</t>
  </si>
  <si>
    <t>SAN FRANCISCO DE NOVILLO</t>
  </si>
  <si>
    <t>130552</t>
  </si>
  <si>
    <t>ZAPALLO</t>
  </si>
  <si>
    <t>130650</t>
  </si>
  <si>
    <t>JIPIJAPA</t>
  </si>
  <si>
    <t>130651</t>
  </si>
  <si>
    <t>AMÉRICA</t>
  </si>
  <si>
    <t>130652</t>
  </si>
  <si>
    <t>EL ANEGADO</t>
  </si>
  <si>
    <t>130653</t>
  </si>
  <si>
    <t>JULCUY</t>
  </si>
  <si>
    <t>130654</t>
  </si>
  <si>
    <t>130656</t>
  </si>
  <si>
    <t>MEMBRILLAL</t>
  </si>
  <si>
    <t>130657</t>
  </si>
  <si>
    <t>PEDRO PABLO GÓMEZ</t>
  </si>
  <si>
    <t>130658</t>
  </si>
  <si>
    <t>PUERTO CAYO</t>
  </si>
  <si>
    <t>130750</t>
  </si>
  <si>
    <t>JUNÍN</t>
  </si>
  <si>
    <t>130850</t>
  </si>
  <si>
    <t>MANTA</t>
  </si>
  <si>
    <t>130851</t>
  </si>
  <si>
    <t>130852</t>
  </si>
  <si>
    <t>SANTA MARIANITA</t>
  </si>
  <si>
    <t>130950</t>
  </si>
  <si>
    <t>MONTECRISTI</t>
  </si>
  <si>
    <t>130952</t>
  </si>
  <si>
    <t>LA PILA</t>
  </si>
  <si>
    <t>131050</t>
  </si>
  <si>
    <t>PAJÁN</t>
  </si>
  <si>
    <t>131051</t>
  </si>
  <si>
    <t>CAMPOZANO</t>
  </si>
  <si>
    <t>131052</t>
  </si>
  <si>
    <t>CASCOL</t>
  </si>
  <si>
    <t>131053</t>
  </si>
  <si>
    <t>GUALE</t>
  </si>
  <si>
    <t>131054</t>
  </si>
  <si>
    <t>LASCANO</t>
  </si>
  <si>
    <t>131150</t>
  </si>
  <si>
    <t>PICHINCHA</t>
  </si>
  <si>
    <t>131151</t>
  </si>
  <si>
    <t>BARRAGANETE</t>
  </si>
  <si>
    <t>131152</t>
  </si>
  <si>
    <t>131250</t>
  </si>
  <si>
    <t>131350</t>
  </si>
  <si>
    <t>SANTA ANA DE VUELTA LARGA</t>
  </si>
  <si>
    <t>131351</t>
  </si>
  <si>
    <t>AYACUCHO</t>
  </si>
  <si>
    <t>131352</t>
  </si>
  <si>
    <t>131353</t>
  </si>
  <si>
    <t>131355</t>
  </si>
  <si>
    <t>131450</t>
  </si>
  <si>
    <t>BAHIA DE CARÁQUEZ</t>
  </si>
  <si>
    <t>SUCRE</t>
  </si>
  <si>
    <t>131453</t>
  </si>
  <si>
    <t>CHARAPOTÓ</t>
  </si>
  <si>
    <t>131457</t>
  </si>
  <si>
    <t>131550</t>
  </si>
  <si>
    <t>TOSAGUA</t>
  </si>
  <si>
    <t>131551</t>
  </si>
  <si>
    <t>BACHILLERO</t>
  </si>
  <si>
    <t>131552</t>
  </si>
  <si>
    <t>ÁNGEL PEDRO GILER</t>
  </si>
  <si>
    <t>131650</t>
  </si>
  <si>
    <t>131651</t>
  </si>
  <si>
    <t>131652</t>
  </si>
  <si>
    <t>NOBOA</t>
  </si>
  <si>
    <t>131653</t>
  </si>
  <si>
    <t>ARQUITECTO SIXTO DURÁN BALLÉN</t>
  </si>
  <si>
    <t>131750</t>
  </si>
  <si>
    <t>PEDERNALES</t>
  </si>
  <si>
    <t>131751</t>
  </si>
  <si>
    <t>COJIMÍES</t>
  </si>
  <si>
    <t>131752</t>
  </si>
  <si>
    <t>DIEZ DE AGOSTO</t>
  </si>
  <si>
    <t>131753</t>
  </si>
  <si>
    <t>131850</t>
  </si>
  <si>
    <t>131950</t>
  </si>
  <si>
    <t>PUERTO LÓPEZ</t>
  </si>
  <si>
    <t>131951</t>
  </si>
  <si>
    <t>MACHALILLA</t>
  </si>
  <si>
    <t>131952</t>
  </si>
  <si>
    <t>SALANGO</t>
  </si>
  <si>
    <t>132050</t>
  </si>
  <si>
    <t>JAMA</t>
  </si>
  <si>
    <t>132150</t>
  </si>
  <si>
    <t>JARAMIJÓ</t>
  </si>
  <si>
    <t>132250</t>
  </si>
  <si>
    <t>132251</t>
  </si>
  <si>
    <t>CANOA</t>
  </si>
  <si>
    <t>140150</t>
  </si>
  <si>
    <t>MACAS</t>
  </si>
  <si>
    <t>140151</t>
  </si>
  <si>
    <t>ALSHI</t>
  </si>
  <si>
    <t>140153</t>
  </si>
  <si>
    <t>GENERAL PROAÑO</t>
  </si>
  <si>
    <t>140156</t>
  </si>
  <si>
    <t>140157</t>
  </si>
  <si>
    <t>SEVILLA DON BOSCO</t>
  </si>
  <si>
    <t>140158</t>
  </si>
  <si>
    <t>SINAÍ</t>
  </si>
  <si>
    <t>140160</t>
  </si>
  <si>
    <t>ZUÑA</t>
  </si>
  <si>
    <t>140162</t>
  </si>
  <si>
    <t>CUCHAENTZA</t>
  </si>
  <si>
    <t>140164</t>
  </si>
  <si>
    <t>RÍO BLANCO</t>
  </si>
  <si>
    <t>140250</t>
  </si>
  <si>
    <t>GUALAQUIZA</t>
  </si>
  <si>
    <t>140251</t>
  </si>
  <si>
    <t>AMAZONAS</t>
  </si>
  <si>
    <t>140252</t>
  </si>
  <si>
    <t>BERMEJOS</t>
  </si>
  <si>
    <t>140253</t>
  </si>
  <si>
    <t>BOMBOÍZA</t>
  </si>
  <si>
    <t>140254</t>
  </si>
  <si>
    <t>CHIGÜINDA</t>
  </si>
  <si>
    <t>140255</t>
  </si>
  <si>
    <t>140256</t>
  </si>
  <si>
    <t>NUEVA TARQUI</t>
  </si>
  <si>
    <t>140257</t>
  </si>
  <si>
    <t>SAN MIGUEL DE CUYES</t>
  </si>
  <si>
    <t>140258</t>
  </si>
  <si>
    <t>EL IDEAL</t>
  </si>
  <si>
    <t>140350</t>
  </si>
  <si>
    <t>GRAL. LEONIDAS PLAZA GUTIÉRREZ</t>
  </si>
  <si>
    <t>140351</t>
  </si>
  <si>
    <t>INDANZA</t>
  </si>
  <si>
    <t>140353</t>
  </si>
  <si>
    <t>140356</t>
  </si>
  <si>
    <t>SAN MIGUEL DE CONCHAY</t>
  </si>
  <si>
    <t>140357</t>
  </si>
  <si>
    <t>SANTA SUSANA DE CHIVIAZA</t>
  </si>
  <si>
    <t>140358</t>
  </si>
  <si>
    <t>YUNGANZA</t>
  </si>
  <si>
    <t>140450</t>
  </si>
  <si>
    <t>PALORA</t>
  </si>
  <si>
    <t>140451</t>
  </si>
  <si>
    <t>ARAPICOS</t>
  </si>
  <si>
    <t>140452</t>
  </si>
  <si>
    <t>140454</t>
  </si>
  <si>
    <t>SANGAY</t>
  </si>
  <si>
    <t>140455</t>
  </si>
  <si>
    <t>16 DE AGOSTO</t>
  </si>
  <si>
    <t>140550</t>
  </si>
  <si>
    <t>SANTIAGO DE MÉNDEZ</t>
  </si>
  <si>
    <t>140551</t>
  </si>
  <si>
    <t>COPAL</t>
  </si>
  <si>
    <t>140552</t>
  </si>
  <si>
    <t>CHUPIANZA</t>
  </si>
  <si>
    <t>140553</t>
  </si>
  <si>
    <t>PATUCA</t>
  </si>
  <si>
    <t>140554</t>
  </si>
  <si>
    <t>SAN LUIS DE EL ACHO</t>
  </si>
  <si>
    <t>140556</t>
  </si>
  <si>
    <t>TAYUZA</t>
  </si>
  <si>
    <t>140557</t>
  </si>
  <si>
    <t>SAN FRANCISCO DE CHINIMBIMI</t>
  </si>
  <si>
    <t>140650</t>
  </si>
  <si>
    <t>SUCÚA</t>
  </si>
  <si>
    <t>140651</t>
  </si>
  <si>
    <t>140652</t>
  </si>
  <si>
    <t>HUAMBI</t>
  </si>
  <si>
    <t>140655</t>
  </si>
  <si>
    <t>SANTA MARIANITA DE JESÚS</t>
  </si>
  <si>
    <t>140750</t>
  </si>
  <si>
    <t>HUAMBOYA</t>
  </si>
  <si>
    <t>140751</t>
  </si>
  <si>
    <t>CHIGUAZA</t>
  </si>
  <si>
    <t>140850</t>
  </si>
  <si>
    <t>SAN JUAN BOSCO</t>
  </si>
  <si>
    <t>140851</t>
  </si>
  <si>
    <t>PAN DE AZÚCAR</t>
  </si>
  <si>
    <t>140852</t>
  </si>
  <si>
    <t>SAN CARLOS DE LIMÓN</t>
  </si>
  <si>
    <t>140853</t>
  </si>
  <si>
    <t>SAN JACINTO DE WAKAMBEIS</t>
  </si>
  <si>
    <t>140854</t>
  </si>
  <si>
    <t>SANTIAGO DE PANANZA</t>
  </si>
  <si>
    <t>140950</t>
  </si>
  <si>
    <t>TAISHA</t>
  </si>
  <si>
    <t>140951</t>
  </si>
  <si>
    <t>HUASAGA</t>
  </si>
  <si>
    <t>140952</t>
  </si>
  <si>
    <t>MACUMA</t>
  </si>
  <si>
    <t>140953</t>
  </si>
  <si>
    <t>TUUTINENTSA</t>
  </si>
  <si>
    <t>140954</t>
  </si>
  <si>
    <t>PUMPUENTSA</t>
  </si>
  <si>
    <t>141050</t>
  </si>
  <si>
    <t>LOGROÑO</t>
  </si>
  <si>
    <t>141051</t>
  </si>
  <si>
    <t>YAUPI</t>
  </si>
  <si>
    <t>141052</t>
  </si>
  <si>
    <t>SHIMPIS</t>
  </si>
  <si>
    <t>141150</t>
  </si>
  <si>
    <t>PABLO SEXTO</t>
  </si>
  <si>
    <t>141250</t>
  </si>
  <si>
    <t>141251</t>
  </si>
  <si>
    <t>SAN JOSÉ DE MORONA</t>
  </si>
  <si>
    <t>150150</t>
  </si>
  <si>
    <t>TENA</t>
  </si>
  <si>
    <t>150151</t>
  </si>
  <si>
    <t>AHUANO</t>
  </si>
  <si>
    <t>150153</t>
  </si>
  <si>
    <t>CHONTAPUNTA</t>
  </si>
  <si>
    <t>150154</t>
  </si>
  <si>
    <t>PANO</t>
  </si>
  <si>
    <t>150155</t>
  </si>
  <si>
    <t>PUERTO MISAHUALLÍ</t>
  </si>
  <si>
    <t>150156</t>
  </si>
  <si>
    <t>PUERTO NAPO</t>
  </si>
  <si>
    <t>150157</t>
  </si>
  <si>
    <t>TÁLAG</t>
  </si>
  <si>
    <t>150158</t>
  </si>
  <si>
    <t>SAN JUAN DE MUYUNA</t>
  </si>
  <si>
    <t>150350</t>
  </si>
  <si>
    <t>ARCHIDONA</t>
  </si>
  <si>
    <t>150352</t>
  </si>
  <si>
    <t>COTUNDO</t>
  </si>
  <si>
    <t>150354</t>
  </si>
  <si>
    <t>SAN PABLO DE USHPAYACU</t>
  </si>
  <si>
    <t>150356</t>
  </si>
  <si>
    <t>HATUN SUMAKU</t>
  </si>
  <si>
    <t>150450</t>
  </si>
  <si>
    <t>EL CHACO</t>
  </si>
  <si>
    <t>150451</t>
  </si>
  <si>
    <t>GONZALO DÍAZ DE PINEDA</t>
  </si>
  <si>
    <t>150452</t>
  </si>
  <si>
    <t>LINARES</t>
  </si>
  <si>
    <t>150453</t>
  </si>
  <si>
    <t>OYACACHI</t>
  </si>
  <si>
    <t>150454</t>
  </si>
  <si>
    <t>150455</t>
  </si>
  <si>
    <t>SARDINAS</t>
  </si>
  <si>
    <t>150750</t>
  </si>
  <si>
    <t>BAEZA</t>
  </si>
  <si>
    <t>150751</t>
  </si>
  <si>
    <t>COSANGA</t>
  </si>
  <si>
    <t>150752</t>
  </si>
  <si>
    <t>CUYUJA</t>
  </si>
  <si>
    <t>150753</t>
  </si>
  <si>
    <t>PAPALLACTA</t>
  </si>
  <si>
    <t>150754</t>
  </si>
  <si>
    <t>SAN FRANCISCO DE BORJA</t>
  </si>
  <si>
    <t>150756</t>
  </si>
  <si>
    <t>SUMACO</t>
  </si>
  <si>
    <t>150950</t>
  </si>
  <si>
    <t>CARLOS JULIO AROSEMENA TOLA</t>
  </si>
  <si>
    <t>160150</t>
  </si>
  <si>
    <t>PUYO</t>
  </si>
  <si>
    <t>160152</t>
  </si>
  <si>
    <t>CANELOS</t>
  </si>
  <si>
    <t>160154</t>
  </si>
  <si>
    <t>160155</t>
  </si>
  <si>
    <t>FÁTIMA</t>
  </si>
  <si>
    <t>160156</t>
  </si>
  <si>
    <t>160157</t>
  </si>
  <si>
    <t>POMONA</t>
  </si>
  <si>
    <t>160158</t>
  </si>
  <si>
    <t>RÍO CORRIENTES</t>
  </si>
  <si>
    <t>160159</t>
  </si>
  <si>
    <t>RÍO TIGRE</t>
  </si>
  <si>
    <t>160161</t>
  </si>
  <si>
    <t>SARAYACU</t>
  </si>
  <si>
    <t>160162</t>
  </si>
  <si>
    <t>160163</t>
  </si>
  <si>
    <t>160164</t>
  </si>
  <si>
    <t>TENIENTE HUGO ORTIZ</t>
  </si>
  <si>
    <t>160165</t>
  </si>
  <si>
    <t>VERACRUZ</t>
  </si>
  <si>
    <t>160166</t>
  </si>
  <si>
    <t>160250</t>
  </si>
  <si>
    <t>MERA</t>
  </si>
  <si>
    <t>160251</t>
  </si>
  <si>
    <t>MADRE TIERRA</t>
  </si>
  <si>
    <t>160252</t>
  </si>
  <si>
    <t>SHELL</t>
  </si>
  <si>
    <t>160350</t>
  </si>
  <si>
    <t>SANTA CLARA</t>
  </si>
  <si>
    <t>160351</t>
  </si>
  <si>
    <t>160450</t>
  </si>
  <si>
    <t>ARAJUNO</t>
  </si>
  <si>
    <t>160451</t>
  </si>
  <si>
    <t>CURARAY</t>
  </si>
  <si>
    <t>170150</t>
  </si>
  <si>
    <t>QUITO</t>
  </si>
  <si>
    <t>170151</t>
  </si>
  <si>
    <t>ALANGASÍ</t>
  </si>
  <si>
    <t>170152</t>
  </si>
  <si>
    <t>AMAGUAÑA</t>
  </si>
  <si>
    <t>170153</t>
  </si>
  <si>
    <t>170154</t>
  </si>
  <si>
    <t>CALACALÍ</t>
  </si>
  <si>
    <t>170155</t>
  </si>
  <si>
    <t>170156</t>
  </si>
  <si>
    <t>CONOCOTO</t>
  </si>
  <si>
    <t>170157</t>
  </si>
  <si>
    <t>CUMBAYÁ</t>
  </si>
  <si>
    <t>170158</t>
  </si>
  <si>
    <t>CHAVEZPAMBA</t>
  </si>
  <si>
    <t>170159</t>
  </si>
  <si>
    <t>170160</t>
  </si>
  <si>
    <t>EL QUINCHE</t>
  </si>
  <si>
    <t>170161</t>
  </si>
  <si>
    <t>GUALEA</t>
  </si>
  <si>
    <t>170162</t>
  </si>
  <si>
    <t>GUANGOPOLO</t>
  </si>
  <si>
    <t>170163</t>
  </si>
  <si>
    <t>GUAYLLABAMBA</t>
  </si>
  <si>
    <t>170164</t>
  </si>
  <si>
    <t>LA MERCED</t>
  </si>
  <si>
    <t>170165</t>
  </si>
  <si>
    <t>LLANO CHICO</t>
  </si>
  <si>
    <t>170166</t>
  </si>
  <si>
    <t>LLOA</t>
  </si>
  <si>
    <t>170168</t>
  </si>
  <si>
    <t>NANEGAL</t>
  </si>
  <si>
    <t>170169</t>
  </si>
  <si>
    <t>NANEGALITO</t>
  </si>
  <si>
    <t>170170</t>
  </si>
  <si>
    <t>NAYÓN</t>
  </si>
  <si>
    <t>170171</t>
  </si>
  <si>
    <t>NONO</t>
  </si>
  <si>
    <t>170172</t>
  </si>
  <si>
    <t>PACTO</t>
  </si>
  <si>
    <t>170174</t>
  </si>
  <si>
    <t>PERUCHO</t>
  </si>
  <si>
    <t>170175</t>
  </si>
  <si>
    <t>PIFO</t>
  </si>
  <si>
    <t>170176</t>
  </si>
  <si>
    <t>PÍNTAG</t>
  </si>
  <si>
    <t>170177</t>
  </si>
  <si>
    <t>POMASQUI</t>
  </si>
  <si>
    <t>170178</t>
  </si>
  <si>
    <t>PUÉLLARO</t>
  </si>
  <si>
    <t>170179</t>
  </si>
  <si>
    <t>PUEMBO</t>
  </si>
  <si>
    <t>170180</t>
  </si>
  <si>
    <t>170181</t>
  </si>
  <si>
    <t>SAN JOSÉ DE MINAS</t>
  </si>
  <si>
    <t>170183</t>
  </si>
  <si>
    <t>TABABELA</t>
  </si>
  <si>
    <t>170184</t>
  </si>
  <si>
    <t>TUMBACO</t>
  </si>
  <si>
    <t>170185</t>
  </si>
  <si>
    <t>YARUQUÍ</t>
  </si>
  <si>
    <t>170186</t>
  </si>
  <si>
    <t>ZÁMBIZA</t>
  </si>
  <si>
    <t>170250</t>
  </si>
  <si>
    <t>CAYAMBE</t>
  </si>
  <si>
    <t>170251</t>
  </si>
  <si>
    <t>ASCÁZUBI</t>
  </si>
  <si>
    <t>170252</t>
  </si>
  <si>
    <t>CANGAHUA</t>
  </si>
  <si>
    <t>170253</t>
  </si>
  <si>
    <t>170254</t>
  </si>
  <si>
    <t>OTÓN</t>
  </si>
  <si>
    <t>170255</t>
  </si>
  <si>
    <t>SANTA ROSA DE CUZUBAMBA</t>
  </si>
  <si>
    <t>170256</t>
  </si>
  <si>
    <t>SAN JOSÉ DE AYORA</t>
  </si>
  <si>
    <t>170350</t>
  </si>
  <si>
    <t>MACHACHI</t>
  </si>
  <si>
    <t>170351</t>
  </si>
  <si>
    <t>ALOAG</t>
  </si>
  <si>
    <t>170352</t>
  </si>
  <si>
    <t>ALOASÍ</t>
  </si>
  <si>
    <t>170353</t>
  </si>
  <si>
    <t>CUTUGLAHUA</t>
  </si>
  <si>
    <t>170354</t>
  </si>
  <si>
    <t>EL CHAUPI</t>
  </si>
  <si>
    <t>170355</t>
  </si>
  <si>
    <t>MANUEL CORNEJO ASTORGA</t>
  </si>
  <si>
    <t>170356</t>
  </si>
  <si>
    <t>170357</t>
  </si>
  <si>
    <t>UYUMBICHO</t>
  </si>
  <si>
    <t>170450</t>
  </si>
  <si>
    <t>TABACUNDO</t>
  </si>
  <si>
    <t>170451</t>
  </si>
  <si>
    <t>170452</t>
  </si>
  <si>
    <t>MALCHINGUÍ</t>
  </si>
  <si>
    <t>170453</t>
  </si>
  <si>
    <t>TOCACHI</t>
  </si>
  <si>
    <t>170454</t>
  </si>
  <si>
    <t>TUPIGACHI</t>
  </si>
  <si>
    <t>170550</t>
  </si>
  <si>
    <t>SANGOLQUÍ</t>
  </si>
  <si>
    <t>170551</t>
  </si>
  <si>
    <t>COTOGCHOA</t>
  </si>
  <si>
    <t>170552</t>
  </si>
  <si>
    <t>RUMIPAMBA</t>
  </si>
  <si>
    <t>170750</t>
  </si>
  <si>
    <t>SAN MIGUEL DE LOS BANCOS</t>
  </si>
  <si>
    <t>170751</t>
  </si>
  <si>
    <t>MINDO</t>
  </si>
  <si>
    <t>170850</t>
  </si>
  <si>
    <t>PEDRO VICENTE MALDONADO</t>
  </si>
  <si>
    <t>170950</t>
  </si>
  <si>
    <t>PUERTO QUITO</t>
  </si>
  <si>
    <t>180150</t>
  </si>
  <si>
    <t>AMBATO</t>
  </si>
  <si>
    <t>180151</t>
  </si>
  <si>
    <t>AMBATILLO</t>
  </si>
  <si>
    <t>180152</t>
  </si>
  <si>
    <t>180153</t>
  </si>
  <si>
    <t>AUGUSTO N. MARTÍNEZ</t>
  </si>
  <si>
    <t>180154</t>
  </si>
  <si>
    <t>CONSTANTINO FERNÁNDEZ</t>
  </si>
  <si>
    <t>180155</t>
  </si>
  <si>
    <t>HUACHI GRANDE</t>
  </si>
  <si>
    <t>180156</t>
  </si>
  <si>
    <t>IZAMBA</t>
  </si>
  <si>
    <t>180157</t>
  </si>
  <si>
    <t>JUAN BENIGNO VELA</t>
  </si>
  <si>
    <t>180158</t>
  </si>
  <si>
    <t>180159</t>
  </si>
  <si>
    <t>PASA</t>
  </si>
  <si>
    <t>180160</t>
  </si>
  <si>
    <t>PICAIHUA</t>
  </si>
  <si>
    <t>180161</t>
  </si>
  <si>
    <t>PILAGÜÍN</t>
  </si>
  <si>
    <t>180162</t>
  </si>
  <si>
    <t>QUISAPINCHA</t>
  </si>
  <si>
    <t>180163</t>
  </si>
  <si>
    <t>SAN BARTOLOMÉ DE PINLLO</t>
  </si>
  <si>
    <t>180164</t>
  </si>
  <si>
    <t>180165</t>
  </si>
  <si>
    <t>180166</t>
  </si>
  <si>
    <t>TOTORAS</t>
  </si>
  <si>
    <t>180167</t>
  </si>
  <si>
    <t>CUNCHIBAMBA</t>
  </si>
  <si>
    <t>180168</t>
  </si>
  <si>
    <t>UNAMUNCHO</t>
  </si>
  <si>
    <t>180250</t>
  </si>
  <si>
    <t>180251</t>
  </si>
  <si>
    <t>LLIGUA</t>
  </si>
  <si>
    <t>180252</t>
  </si>
  <si>
    <t>RÍO NEGRO</t>
  </si>
  <si>
    <t>180253</t>
  </si>
  <si>
    <t>RÍO VERDE</t>
  </si>
  <si>
    <t>180254</t>
  </si>
  <si>
    <t>ULBA</t>
  </si>
  <si>
    <t>180350</t>
  </si>
  <si>
    <t>CEVALLOS</t>
  </si>
  <si>
    <t>180450</t>
  </si>
  <si>
    <t>MOCHA</t>
  </si>
  <si>
    <t>180451</t>
  </si>
  <si>
    <t>PINGUILÍ</t>
  </si>
  <si>
    <t>180550</t>
  </si>
  <si>
    <t>PATATE</t>
  </si>
  <si>
    <t>180551</t>
  </si>
  <si>
    <t>180552</t>
  </si>
  <si>
    <t>180553</t>
  </si>
  <si>
    <t>180650</t>
  </si>
  <si>
    <t>QUERO</t>
  </si>
  <si>
    <t>180651</t>
  </si>
  <si>
    <t>180652</t>
  </si>
  <si>
    <t>YANAYACU MOCHAPATA</t>
  </si>
  <si>
    <t>180750</t>
  </si>
  <si>
    <t>PELILEO</t>
  </si>
  <si>
    <t>180751</t>
  </si>
  <si>
    <t>BENÍTEZ</t>
  </si>
  <si>
    <t>180752</t>
  </si>
  <si>
    <t>180753</t>
  </si>
  <si>
    <t>COTALÓ</t>
  </si>
  <si>
    <t>180754</t>
  </si>
  <si>
    <t>CHIQUICHA</t>
  </si>
  <si>
    <t>180755</t>
  </si>
  <si>
    <t>180756</t>
  </si>
  <si>
    <t>180757</t>
  </si>
  <si>
    <t>GUAMBALÓ</t>
  </si>
  <si>
    <t>180758</t>
  </si>
  <si>
    <t>SALASACA</t>
  </si>
  <si>
    <t>180850</t>
  </si>
  <si>
    <t>PÍLLARO</t>
  </si>
  <si>
    <t>180851</t>
  </si>
  <si>
    <t>BAQUERIZO MORENO</t>
  </si>
  <si>
    <t>180852</t>
  </si>
  <si>
    <t>EMILIO MARÍA TERÁN</t>
  </si>
  <si>
    <t>180853</t>
  </si>
  <si>
    <t>MARCOS ESPINEL</t>
  </si>
  <si>
    <t>180854</t>
  </si>
  <si>
    <t>PRESIDENTE URBINA</t>
  </si>
  <si>
    <t>180855</t>
  </si>
  <si>
    <t>180856</t>
  </si>
  <si>
    <t>SAN JOSÉ DE POALÓ</t>
  </si>
  <si>
    <t>180857</t>
  </si>
  <si>
    <t>SAN MIGUELITO</t>
  </si>
  <si>
    <t>180950</t>
  </si>
  <si>
    <t>TISALEO</t>
  </si>
  <si>
    <t>180951</t>
  </si>
  <si>
    <t>QUINCHICOTO</t>
  </si>
  <si>
    <t>190150</t>
  </si>
  <si>
    <t>ZAMORA</t>
  </si>
  <si>
    <t>190151</t>
  </si>
  <si>
    <t>CUMBARATZA</t>
  </si>
  <si>
    <t>190152</t>
  </si>
  <si>
    <t>GUADALUPE</t>
  </si>
  <si>
    <t>190153</t>
  </si>
  <si>
    <t>IMBANA</t>
  </si>
  <si>
    <t>190155</t>
  </si>
  <si>
    <t>190156</t>
  </si>
  <si>
    <t>TIMBARA</t>
  </si>
  <si>
    <t>190158</t>
  </si>
  <si>
    <t>SAN CARLOS DE LAS MINAS</t>
  </si>
  <si>
    <t>190250</t>
  </si>
  <si>
    <t>ZUMBA</t>
  </si>
  <si>
    <t>190251</t>
  </si>
  <si>
    <t>CHITO</t>
  </si>
  <si>
    <t>190252</t>
  </si>
  <si>
    <t>EL CHORRO</t>
  </si>
  <si>
    <t>190254</t>
  </si>
  <si>
    <t>LA CHONTA</t>
  </si>
  <si>
    <t>190256</t>
  </si>
  <si>
    <t>PUCAPAMBA</t>
  </si>
  <si>
    <t>190259</t>
  </si>
  <si>
    <t>190350</t>
  </si>
  <si>
    <t>GUAYZIMI</t>
  </si>
  <si>
    <t>190351</t>
  </si>
  <si>
    <t>ZURMI</t>
  </si>
  <si>
    <t>190352</t>
  </si>
  <si>
    <t>NUEVO PARAÍSO</t>
  </si>
  <si>
    <t>190353</t>
  </si>
  <si>
    <t>NANKAIS</t>
  </si>
  <si>
    <t>190450</t>
  </si>
  <si>
    <t>28 DE MAYO</t>
  </si>
  <si>
    <t>190451</t>
  </si>
  <si>
    <t>190452</t>
  </si>
  <si>
    <t>TUTUPALI</t>
  </si>
  <si>
    <t>190550</t>
  </si>
  <si>
    <t>YANTZAZA</t>
  </si>
  <si>
    <t>190551</t>
  </si>
  <si>
    <t>CHICAÑA</t>
  </si>
  <si>
    <t>190553</t>
  </si>
  <si>
    <t>LOS ENCUENTROS</t>
  </si>
  <si>
    <t>190650</t>
  </si>
  <si>
    <t>EL PANGUI</t>
  </si>
  <si>
    <t>190651</t>
  </si>
  <si>
    <t>EL GUISME</t>
  </si>
  <si>
    <t>190652</t>
  </si>
  <si>
    <t>PACHICUTZA</t>
  </si>
  <si>
    <t>190653</t>
  </si>
  <si>
    <t>TUNDAYME</t>
  </si>
  <si>
    <t>190750</t>
  </si>
  <si>
    <t>ZUMBI</t>
  </si>
  <si>
    <t>190752</t>
  </si>
  <si>
    <t>TRIUNFO DORADO</t>
  </si>
  <si>
    <t>190753</t>
  </si>
  <si>
    <t>PANGUINTZA</t>
  </si>
  <si>
    <t>190850</t>
  </si>
  <si>
    <t>PALANDA</t>
  </si>
  <si>
    <t>190851</t>
  </si>
  <si>
    <t>EL PORVENIR DEL CARMEN</t>
  </si>
  <si>
    <t>190852</t>
  </si>
  <si>
    <t>SAN FRANCISCO DEL VERGEL</t>
  </si>
  <si>
    <t>190853</t>
  </si>
  <si>
    <t>VALLADOLID</t>
  </si>
  <si>
    <t>190854</t>
  </si>
  <si>
    <t>LA CANELA</t>
  </si>
  <si>
    <t>190950</t>
  </si>
  <si>
    <t>PAQUISHA</t>
  </si>
  <si>
    <t>190951</t>
  </si>
  <si>
    <t>190952</t>
  </si>
  <si>
    <t>NUEVO QUITO</t>
  </si>
  <si>
    <t>200150</t>
  </si>
  <si>
    <t>PUERTO BAQUERIZO MORENO</t>
  </si>
  <si>
    <t>200151</t>
  </si>
  <si>
    <t>200152</t>
  </si>
  <si>
    <t>ISLA SANTA MARÍA FLOREANA</t>
  </si>
  <si>
    <t>200250</t>
  </si>
  <si>
    <t>PUERTO VILLAMIL</t>
  </si>
  <si>
    <t>200251</t>
  </si>
  <si>
    <t>TOMÁS DE BERLANGA</t>
  </si>
  <si>
    <t>200350</t>
  </si>
  <si>
    <t>PUERTO AYORA</t>
  </si>
  <si>
    <t>200351</t>
  </si>
  <si>
    <t>BELLA VISTA</t>
  </si>
  <si>
    <t>200352</t>
  </si>
  <si>
    <t>210150</t>
  </si>
  <si>
    <t>NUEVA LOJA</t>
  </si>
  <si>
    <t>210152</t>
  </si>
  <si>
    <t>DURENO</t>
  </si>
  <si>
    <t>210153</t>
  </si>
  <si>
    <t>GENERAL FARFÁN</t>
  </si>
  <si>
    <t>210155</t>
  </si>
  <si>
    <t>EL ENO</t>
  </si>
  <si>
    <t>210156</t>
  </si>
  <si>
    <t>PACAYACU</t>
  </si>
  <si>
    <t>210157</t>
  </si>
  <si>
    <t>210158</t>
  </si>
  <si>
    <t>SANTA CECILIA</t>
  </si>
  <si>
    <t>210160</t>
  </si>
  <si>
    <t>10 DE AGOSTO</t>
  </si>
  <si>
    <t>210250</t>
  </si>
  <si>
    <t>LUMBAQUÍ</t>
  </si>
  <si>
    <t>GONZALO PIZARRO</t>
  </si>
  <si>
    <t>210251</t>
  </si>
  <si>
    <t>EL REVENTADOR</t>
  </si>
  <si>
    <t>210252</t>
  </si>
  <si>
    <t>210254</t>
  </si>
  <si>
    <t>PUERTO LIBRE</t>
  </si>
  <si>
    <t>210350</t>
  </si>
  <si>
    <t>PUERTO EL CARMEN DE PUTUMAYO</t>
  </si>
  <si>
    <t>210351</t>
  </si>
  <si>
    <t>PALMA ROJA</t>
  </si>
  <si>
    <t>210352</t>
  </si>
  <si>
    <t>PUERTO BOLÍVAR</t>
  </si>
  <si>
    <t>210353</t>
  </si>
  <si>
    <t>PUERTO RODRÍGUEZ</t>
  </si>
  <si>
    <t>210354</t>
  </si>
  <si>
    <t>SANTA ELENA</t>
  </si>
  <si>
    <t>210355</t>
  </si>
  <si>
    <t>SANSAHUARI</t>
  </si>
  <si>
    <t>210450</t>
  </si>
  <si>
    <t>SHUSHUFINDI</t>
  </si>
  <si>
    <t>210451</t>
  </si>
  <si>
    <t>LIMONCOCHA</t>
  </si>
  <si>
    <t>210452</t>
  </si>
  <si>
    <t>PAÑACOCHA</t>
  </si>
  <si>
    <t>210453</t>
  </si>
  <si>
    <t>210454</t>
  </si>
  <si>
    <t>SAN PEDRO DE LOS COFÁNES</t>
  </si>
  <si>
    <t>210455</t>
  </si>
  <si>
    <t>SIETE DE JULIO</t>
  </si>
  <si>
    <t>210550</t>
  </si>
  <si>
    <t>LA BONITA</t>
  </si>
  <si>
    <t>210551</t>
  </si>
  <si>
    <t>EL PLAYÓN DE SAN FRANCISCO</t>
  </si>
  <si>
    <t>210552</t>
  </si>
  <si>
    <t>LA SOFÍA</t>
  </si>
  <si>
    <t>210553</t>
  </si>
  <si>
    <t>ROSA FLORIDA</t>
  </si>
  <si>
    <t>210554</t>
  </si>
  <si>
    <t>SANTA BÁRBARA</t>
  </si>
  <si>
    <t>210650</t>
  </si>
  <si>
    <t>EL DORADO DE CASCALES</t>
  </si>
  <si>
    <t>210651</t>
  </si>
  <si>
    <t>SANTA ROSA DE SUCUMBÍOS</t>
  </si>
  <si>
    <t>210652</t>
  </si>
  <si>
    <t>210653</t>
  </si>
  <si>
    <t>NUEVA TRONCAL</t>
  </si>
  <si>
    <t>210750</t>
  </si>
  <si>
    <t>TARAPOA</t>
  </si>
  <si>
    <t>CUYABENO</t>
  </si>
  <si>
    <t>210751</t>
  </si>
  <si>
    <t>210752</t>
  </si>
  <si>
    <t>AGUAS NEGRAS</t>
  </si>
  <si>
    <t>220150</t>
  </si>
  <si>
    <t>EL COCA</t>
  </si>
  <si>
    <t>220151</t>
  </si>
  <si>
    <t>DAYUMA</t>
  </si>
  <si>
    <t>220152</t>
  </si>
  <si>
    <t>TARACOA</t>
  </si>
  <si>
    <t>220153</t>
  </si>
  <si>
    <t>ALEJANDRO LABAKA</t>
  </si>
  <si>
    <t>220154</t>
  </si>
  <si>
    <t>EL DORADO</t>
  </si>
  <si>
    <t>220155</t>
  </si>
  <si>
    <t>EL EDÉN</t>
  </si>
  <si>
    <t>220156</t>
  </si>
  <si>
    <t>220157</t>
  </si>
  <si>
    <t>INÉS ARANGO</t>
  </si>
  <si>
    <t>220158</t>
  </si>
  <si>
    <t>LA BELLEZA</t>
  </si>
  <si>
    <t>220159</t>
  </si>
  <si>
    <t>220160</t>
  </si>
  <si>
    <t>SAN JOSÉ DE GUAYUSA</t>
  </si>
  <si>
    <t>220161</t>
  </si>
  <si>
    <t>SAN LUIS DE ARMENIA</t>
  </si>
  <si>
    <t>220250</t>
  </si>
  <si>
    <t>NUEVO ROCAFUERTE</t>
  </si>
  <si>
    <t>220251</t>
  </si>
  <si>
    <t>CAPITÁN AUGUSTO RIVADENEYRA</t>
  </si>
  <si>
    <t>220252</t>
  </si>
  <si>
    <t>CONONACO</t>
  </si>
  <si>
    <t>220253</t>
  </si>
  <si>
    <t>SANTA MARÍA DE HUIRIRIMA</t>
  </si>
  <si>
    <t>220255</t>
  </si>
  <si>
    <t>YASUNÍ</t>
  </si>
  <si>
    <t>220350</t>
  </si>
  <si>
    <t>LA JOYA DE LOS SACHAS</t>
  </si>
  <si>
    <t>220351</t>
  </si>
  <si>
    <t>ENOKANQUI</t>
  </si>
  <si>
    <t>220352</t>
  </si>
  <si>
    <t>POMPEYA</t>
  </si>
  <si>
    <t>220353</t>
  </si>
  <si>
    <t>220354</t>
  </si>
  <si>
    <t>SAN SEBASTIÁN DEL COCA</t>
  </si>
  <si>
    <t>220355</t>
  </si>
  <si>
    <t>LAGO SAN PEDRO</t>
  </si>
  <si>
    <t>220356</t>
  </si>
  <si>
    <t>220357</t>
  </si>
  <si>
    <t>TRES DE NOVIEMBRE</t>
  </si>
  <si>
    <t>220358</t>
  </si>
  <si>
    <t>UNIÓN MILAGREÑA</t>
  </si>
  <si>
    <t>220450</t>
  </si>
  <si>
    <t>LORETO</t>
  </si>
  <si>
    <t>220451</t>
  </si>
  <si>
    <t>ÁVILA</t>
  </si>
  <si>
    <t>220452</t>
  </si>
  <si>
    <t>PUERTO MURIALDO</t>
  </si>
  <si>
    <t>220453</t>
  </si>
  <si>
    <t>SAN JOSÉ DE PAYAMINO</t>
  </si>
  <si>
    <t>220454</t>
  </si>
  <si>
    <t>SAN JOSÉ DE DAHUANO</t>
  </si>
  <si>
    <t>220455</t>
  </si>
  <si>
    <t>SAN VICENTE DE HUATICOCHA</t>
  </si>
  <si>
    <t>230150</t>
  </si>
  <si>
    <t>SANTO DOMINGO DE LOS COLORADOS</t>
  </si>
  <si>
    <t>230151</t>
  </si>
  <si>
    <t>ALLURIQUÍN</t>
  </si>
  <si>
    <t>230152</t>
  </si>
  <si>
    <t>PUERTO LIMÓN</t>
  </si>
  <si>
    <t>230153</t>
  </si>
  <si>
    <t>LUZ DE AMÉRICA</t>
  </si>
  <si>
    <t>230154</t>
  </si>
  <si>
    <t>SAN JACINTO DEL BÚA</t>
  </si>
  <si>
    <t>230155</t>
  </si>
  <si>
    <t>VALLE HERMOSO</t>
  </si>
  <si>
    <t>230156</t>
  </si>
  <si>
    <t>EL ESFUERZO</t>
  </si>
  <si>
    <t>230157</t>
  </si>
  <si>
    <t>SANTA MARÍA DEL TOACHI</t>
  </si>
  <si>
    <t>230250</t>
  </si>
  <si>
    <t>LA CONCORDIA</t>
  </si>
  <si>
    <t>230251</t>
  </si>
  <si>
    <t>MONTERREY</t>
  </si>
  <si>
    <t>230252</t>
  </si>
  <si>
    <t>LA VILLEGAS</t>
  </si>
  <si>
    <t>230253</t>
  </si>
  <si>
    <t>PLAN PILOTO</t>
  </si>
  <si>
    <t>240150</t>
  </si>
  <si>
    <t>240151</t>
  </si>
  <si>
    <t>240152</t>
  </si>
  <si>
    <t>COLONCHE</t>
  </si>
  <si>
    <t>240153</t>
  </si>
  <si>
    <t>CHANDUY</t>
  </si>
  <si>
    <t>240154</t>
  </si>
  <si>
    <t>MANGLARALTO</t>
  </si>
  <si>
    <t>240155</t>
  </si>
  <si>
    <t>240156</t>
  </si>
  <si>
    <t>SAN JOSÉ DE ANCÓN</t>
  </si>
  <si>
    <t>240250</t>
  </si>
  <si>
    <t>240350</t>
  </si>
  <si>
    <t>240351</t>
  </si>
  <si>
    <t>ANCONCITO</t>
  </si>
  <si>
    <t>240352</t>
  </si>
  <si>
    <t>JOSÉ LUIS TAMAYO</t>
  </si>
  <si>
    <t>ISLA</t>
  </si>
  <si>
    <t>NO APLICA</t>
  </si>
  <si>
    <t>ZONA EN ESTUDIO: JUVAL (CAÑAR-CHIMBORAZO)</t>
  </si>
  <si>
    <t>ADM3_PCODE</t>
  </si>
  <si>
    <t>ADM2_PCODE</t>
  </si>
  <si>
    <t>ADM1_PCODE</t>
  </si>
  <si>
    <t>ADM0_PCODE</t>
  </si>
  <si>
    <t>DPA_PROVIN</t>
  </si>
  <si>
    <t>DPA_DESPRO</t>
  </si>
  <si>
    <t>01</t>
  </si>
  <si>
    <t>AZUAY</t>
  </si>
  <si>
    <t>02</t>
  </si>
  <si>
    <t>03</t>
  </si>
  <si>
    <t>04</t>
  </si>
  <si>
    <t>CARCHI</t>
  </si>
  <si>
    <t>05</t>
  </si>
  <si>
    <t>COTOPAXI</t>
  </si>
  <si>
    <t>06</t>
  </si>
  <si>
    <t>CHIMBORAZO</t>
  </si>
  <si>
    <t>07</t>
  </si>
  <si>
    <t>EL ORO</t>
  </si>
  <si>
    <t>08</t>
  </si>
  <si>
    <t>09</t>
  </si>
  <si>
    <t>10</t>
  </si>
  <si>
    <t>IMBABURA</t>
  </si>
  <si>
    <t>11</t>
  </si>
  <si>
    <t>12</t>
  </si>
  <si>
    <t>LOS RÍOS</t>
  </si>
  <si>
    <t>13</t>
  </si>
  <si>
    <t>MANABÍ</t>
  </si>
  <si>
    <t>14</t>
  </si>
  <si>
    <t>MORONA SANTIAGO</t>
  </si>
  <si>
    <t>15</t>
  </si>
  <si>
    <t>NAPO</t>
  </si>
  <si>
    <t>16</t>
  </si>
  <si>
    <t>PASTAZA</t>
  </si>
  <si>
    <t>17</t>
  </si>
  <si>
    <t>18</t>
  </si>
  <si>
    <t>TUNGURAHUA</t>
  </si>
  <si>
    <t>19</t>
  </si>
  <si>
    <t>ZAMORA CHINCHIPE</t>
  </si>
  <si>
    <t>20</t>
  </si>
  <si>
    <t>GALÁPAGOS</t>
  </si>
  <si>
    <t>21</t>
  </si>
  <si>
    <t>SUCUMBÍOS</t>
  </si>
  <si>
    <t>22</t>
  </si>
  <si>
    <t>ORELLANA</t>
  </si>
  <si>
    <t>23</t>
  </si>
  <si>
    <t>SANTO DOMINGO DE LOS TSÁCHILAS</t>
  </si>
  <si>
    <t>24</t>
  </si>
  <si>
    <t>EC</t>
  </si>
  <si>
    <t>ADM0_ES</t>
  </si>
  <si>
    <t>Ecuador</t>
  </si>
  <si>
    <t>2403</t>
  </si>
  <si>
    <t>2402</t>
  </si>
  <si>
    <t>2401</t>
  </si>
  <si>
    <t>2302</t>
  </si>
  <si>
    <t>SANTO DOMINGO</t>
  </si>
  <si>
    <t>2301</t>
  </si>
  <si>
    <t>2204</t>
  </si>
  <si>
    <t>2203</t>
  </si>
  <si>
    <t>AGUARICO</t>
  </si>
  <si>
    <t>2202</t>
  </si>
  <si>
    <t>FRANCISCO DE ORELLANA</t>
  </si>
  <si>
    <t>2201</t>
  </si>
  <si>
    <t>2107</t>
  </si>
  <si>
    <t>CASCALES</t>
  </si>
  <si>
    <t>2106</t>
  </si>
  <si>
    <t>2105</t>
  </si>
  <si>
    <t>2104</t>
  </si>
  <si>
    <t>PUTUMAYO</t>
  </si>
  <si>
    <t>2103</t>
  </si>
  <si>
    <t>2102</t>
  </si>
  <si>
    <t>LAGO AGRIO</t>
  </si>
  <si>
    <t>2101</t>
  </si>
  <si>
    <t>SANTA CRUZ</t>
  </si>
  <si>
    <t>2003</t>
  </si>
  <si>
    <t>ISABELA</t>
  </si>
  <si>
    <t>2002</t>
  </si>
  <si>
    <t>2001</t>
  </si>
  <si>
    <t>1909</t>
  </si>
  <si>
    <t>1908</t>
  </si>
  <si>
    <t>CENTINELA DEL CÓNDOR</t>
  </si>
  <si>
    <t>1907</t>
  </si>
  <si>
    <t>1906</t>
  </si>
  <si>
    <t>1905</t>
  </si>
  <si>
    <t>YACUAMBI</t>
  </si>
  <si>
    <t>1904</t>
  </si>
  <si>
    <t>NANGARITZA</t>
  </si>
  <si>
    <t>1903</t>
  </si>
  <si>
    <t>CHINCHIPE</t>
  </si>
  <si>
    <t>1902</t>
  </si>
  <si>
    <t>1901</t>
  </si>
  <si>
    <t>1809</t>
  </si>
  <si>
    <t>SANTIAGO DE PÍLLARO</t>
  </si>
  <si>
    <t>1808</t>
  </si>
  <si>
    <t>SAN PEDRO DE PELILEO</t>
  </si>
  <si>
    <t>1807</t>
  </si>
  <si>
    <t>1806</t>
  </si>
  <si>
    <t>1805</t>
  </si>
  <si>
    <t>1804</t>
  </si>
  <si>
    <t>1803</t>
  </si>
  <si>
    <t>BAÑOS DE AGUA SANTA</t>
  </si>
  <si>
    <t>1802</t>
  </si>
  <si>
    <t>1801</t>
  </si>
  <si>
    <t>1709</t>
  </si>
  <si>
    <t>1708</t>
  </si>
  <si>
    <t>1707</t>
  </si>
  <si>
    <t>RUMIÑAHUI</t>
  </si>
  <si>
    <t>1705</t>
  </si>
  <si>
    <t>PEDRO MONCAYO</t>
  </si>
  <si>
    <t>1704</t>
  </si>
  <si>
    <t>MEJÍA</t>
  </si>
  <si>
    <t>1703</t>
  </si>
  <si>
    <t>1702</t>
  </si>
  <si>
    <t>DISTRITO METROPOLITANO DE QUITO</t>
  </si>
  <si>
    <t>1701</t>
  </si>
  <si>
    <t>1604</t>
  </si>
  <si>
    <t>1603</t>
  </si>
  <si>
    <t>1602</t>
  </si>
  <si>
    <t>1601</t>
  </si>
  <si>
    <t>1509</t>
  </si>
  <si>
    <t>QUIJOS</t>
  </si>
  <si>
    <t>1507</t>
  </si>
  <si>
    <t>1504</t>
  </si>
  <si>
    <t>1503</t>
  </si>
  <si>
    <t>1501</t>
  </si>
  <si>
    <t>TIWINTZA</t>
  </si>
  <si>
    <t>1412</t>
  </si>
  <si>
    <t>1411</t>
  </si>
  <si>
    <t>1410</t>
  </si>
  <si>
    <t>1409</t>
  </si>
  <si>
    <t>1408</t>
  </si>
  <si>
    <t>1407</t>
  </si>
  <si>
    <t>1406</t>
  </si>
  <si>
    <t>1405</t>
  </si>
  <si>
    <t>1404</t>
  </si>
  <si>
    <t>LIMÓN INDANZA</t>
  </si>
  <si>
    <t>1403</t>
  </si>
  <si>
    <t>1402</t>
  </si>
  <si>
    <t>MORONA</t>
  </si>
  <si>
    <t>1401</t>
  </si>
  <si>
    <t>1322</t>
  </si>
  <si>
    <t>1321</t>
  </si>
  <si>
    <t>1320</t>
  </si>
  <si>
    <t>1319</t>
  </si>
  <si>
    <t>1318</t>
  </si>
  <si>
    <t>1317</t>
  </si>
  <si>
    <t>24 DE MAYO</t>
  </si>
  <si>
    <t>1316</t>
  </si>
  <si>
    <t>1315</t>
  </si>
  <si>
    <t>1314</t>
  </si>
  <si>
    <t>1313</t>
  </si>
  <si>
    <t>1312</t>
  </si>
  <si>
    <t>1311</t>
  </si>
  <si>
    <t>1310</t>
  </si>
  <si>
    <t>1309</t>
  </si>
  <si>
    <t>1308</t>
  </si>
  <si>
    <t>1307</t>
  </si>
  <si>
    <t>1306</t>
  </si>
  <si>
    <t>1305</t>
  </si>
  <si>
    <t>1304</t>
  </si>
  <si>
    <t>1303</t>
  </si>
  <si>
    <t>1302</t>
  </si>
  <si>
    <t>1301</t>
  </si>
  <si>
    <t>1213</t>
  </si>
  <si>
    <t>1212</t>
  </si>
  <si>
    <t>1211</t>
  </si>
  <si>
    <t>BUENA FE</t>
  </si>
  <si>
    <t>1210</t>
  </si>
  <si>
    <t>1209</t>
  </si>
  <si>
    <t>1208</t>
  </si>
  <si>
    <t>1207</t>
  </si>
  <si>
    <t>1206</t>
  </si>
  <si>
    <t>1205</t>
  </si>
  <si>
    <t>1204</t>
  </si>
  <si>
    <t>1203</t>
  </si>
  <si>
    <t>1202</t>
  </si>
  <si>
    <t>1201</t>
  </si>
  <si>
    <t>1116</t>
  </si>
  <si>
    <t>1115</t>
  </si>
  <si>
    <t>1114</t>
  </si>
  <si>
    <t>1113</t>
  </si>
  <si>
    <t>1112</t>
  </si>
  <si>
    <t>1111</t>
  </si>
  <si>
    <t>PUYANGO</t>
  </si>
  <si>
    <t>1110</t>
  </si>
  <si>
    <t>PALTAS</t>
  </si>
  <si>
    <t>1109</t>
  </si>
  <si>
    <t>1108</t>
  </si>
  <si>
    <t>1107</t>
  </si>
  <si>
    <t>ESPÍNDOLA</t>
  </si>
  <si>
    <t>1106</t>
  </si>
  <si>
    <t>1105</t>
  </si>
  <si>
    <t>1104</t>
  </si>
  <si>
    <t>1103</t>
  </si>
  <si>
    <t>CALVAS</t>
  </si>
  <si>
    <t>1102</t>
  </si>
  <si>
    <t>1101</t>
  </si>
  <si>
    <t>SAN MIGUEL DE URCUQUÍ</t>
  </si>
  <si>
    <t>1006</t>
  </si>
  <si>
    <t>1005</t>
  </si>
  <si>
    <t>1004</t>
  </si>
  <si>
    <t>1003</t>
  </si>
  <si>
    <t>ANTONIO ANTE</t>
  </si>
  <si>
    <t>1002</t>
  </si>
  <si>
    <t>IBARRA</t>
  </si>
  <si>
    <t>1001</t>
  </si>
  <si>
    <t>0928</t>
  </si>
  <si>
    <t>GENERAL  ANTONIO ELIZALDE</t>
  </si>
  <si>
    <t>0927</t>
  </si>
  <si>
    <t>NOBOL</t>
  </si>
  <si>
    <t>0925</t>
  </si>
  <si>
    <t>0924</t>
  </si>
  <si>
    <t>0923</t>
  </si>
  <si>
    <t>0922</t>
  </si>
  <si>
    <t>PLAYAS</t>
  </si>
  <si>
    <t>0921</t>
  </si>
  <si>
    <t>0920</t>
  </si>
  <si>
    <t>SALITRE</t>
  </si>
  <si>
    <t>0919</t>
  </si>
  <si>
    <t>0918</t>
  </si>
  <si>
    <t>0916</t>
  </si>
  <si>
    <t>0914</t>
  </si>
  <si>
    <t>0913</t>
  </si>
  <si>
    <t>0912</t>
  </si>
  <si>
    <t>0911</t>
  </si>
  <si>
    <t>0910</t>
  </si>
  <si>
    <t>0909</t>
  </si>
  <si>
    <t>EL EMPALME</t>
  </si>
  <si>
    <t>0908</t>
  </si>
  <si>
    <t>DURÁN</t>
  </si>
  <si>
    <t>0907</t>
  </si>
  <si>
    <t>0906</t>
  </si>
  <si>
    <t>0905</t>
  </si>
  <si>
    <t>0904</t>
  </si>
  <si>
    <t>0903</t>
  </si>
  <si>
    <t>0902</t>
  </si>
  <si>
    <t>0901</t>
  </si>
  <si>
    <t>0807</t>
  </si>
  <si>
    <t>0806</t>
  </si>
  <si>
    <t>0805</t>
  </si>
  <si>
    <t>QUININDÉ</t>
  </si>
  <si>
    <t>0804</t>
  </si>
  <si>
    <t>0803</t>
  </si>
  <si>
    <t>0802</t>
  </si>
  <si>
    <t>0801</t>
  </si>
  <si>
    <t>LAS LAJAS</t>
  </si>
  <si>
    <t>0714</t>
  </si>
  <si>
    <t>0713</t>
  </si>
  <si>
    <t>0712</t>
  </si>
  <si>
    <t>0711</t>
  </si>
  <si>
    <t>0710</t>
  </si>
  <si>
    <t>0709</t>
  </si>
  <si>
    <t>0708</t>
  </si>
  <si>
    <t>0707</t>
  </si>
  <si>
    <t>0706</t>
  </si>
  <si>
    <t>0705</t>
  </si>
  <si>
    <t>0704</t>
  </si>
  <si>
    <t>0703</t>
  </si>
  <si>
    <t>0702</t>
  </si>
  <si>
    <t>0701</t>
  </si>
  <si>
    <t>0610</t>
  </si>
  <si>
    <t>0609</t>
  </si>
  <si>
    <t>0608</t>
  </si>
  <si>
    <t>0607</t>
  </si>
  <si>
    <t>0606</t>
  </si>
  <si>
    <t>0605</t>
  </si>
  <si>
    <t>0604</t>
  </si>
  <si>
    <t>COLTA</t>
  </si>
  <si>
    <t>0603</t>
  </si>
  <si>
    <t>0602</t>
  </si>
  <si>
    <t>0601</t>
  </si>
  <si>
    <t>0507</t>
  </si>
  <si>
    <t>0506</t>
  </si>
  <si>
    <t>SALCEDO</t>
  </si>
  <si>
    <t>0505</t>
  </si>
  <si>
    <t>0504</t>
  </si>
  <si>
    <t>PANGUA</t>
  </si>
  <si>
    <t>0503</t>
  </si>
  <si>
    <t>0502</t>
  </si>
  <si>
    <t>0501</t>
  </si>
  <si>
    <t>SAN PEDRO DE HUACA</t>
  </si>
  <si>
    <t>0406</t>
  </si>
  <si>
    <t>MONTÚFAR</t>
  </si>
  <si>
    <t>0405</t>
  </si>
  <si>
    <t>0404</t>
  </si>
  <si>
    <t>ESPEJO</t>
  </si>
  <si>
    <t>0403</t>
  </si>
  <si>
    <t>0402</t>
  </si>
  <si>
    <t>0401</t>
  </si>
  <si>
    <t>0307</t>
  </si>
  <si>
    <t>0306</t>
  </si>
  <si>
    <t>0305</t>
  </si>
  <si>
    <t>0304</t>
  </si>
  <si>
    <t>0303</t>
  </si>
  <si>
    <t>0302</t>
  </si>
  <si>
    <t>0301</t>
  </si>
  <si>
    <t>0207</t>
  </si>
  <si>
    <t>0206</t>
  </si>
  <si>
    <t>0205</t>
  </si>
  <si>
    <t>0204</t>
  </si>
  <si>
    <t>CHIMBO</t>
  </si>
  <si>
    <t>0203</t>
  </si>
  <si>
    <t>0202</t>
  </si>
  <si>
    <t>0201</t>
  </si>
  <si>
    <t>0115</t>
  </si>
  <si>
    <t>0114</t>
  </si>
  <si>
    <t>0113</t>
  </si>
  <si>
    <t>0112</t>
  </si>
  <si>
    <t>0111</t>
  </si>
  <si>
    <t>OÑA</t>
  </si>
  <si>
    <t>0110</t>
  </si>
  <si>
    <t>0109</t>
  </si>
  <si>
    <t>0108</t>
  </si>
  <si>
    <t>0107</t>
  </si>
  <si>
    <t>0106</t>
  </si>
  <si>
    <t>0105</t>
  </si>
  <si>
    <t>0104</t>
  </si>
  <si>
    <t>0103</t>
  </si>
  <si>
    <t>0102</t>
  </si>
  <si>
    <t>0101</t>
  </si>
  <si>
    <t>DPA_DESCAN</t>
  </si>
  <si>
    <t>DPA_CANTON</t>
  </si>
  <si>
    <t>ADM1_ES</t>
  </si>
  <si>
    <t>ADM3_ES</t>
  </si>
  <si>
    <t>ADM3_ES_proper</t>
  </si>
  <si>
    <t>ADM2_ES</t>
  </si>
  <si>
    <t>Azuay</t>
  </si>
  <si>
    <t>EC01</t>
  </si>
  <si>
    <t>Bolívar</t>
  </si>
  <si>
    <t>EC02</t>
  </si>
  <si>
    <t>Cañar</t>
  </si>
  <si>
    <t>EC03</t>
  </si>
  <si>
    <t>Carchi</t>
  </si>
  <si>
    <t>EC04</t>
  </si>
  <si>
    <t>Cotopaxi</t>
  </si>
  <si>
    <t>EC05</t>
  </si>
  <si>
    <t>Chimborazo</t>
  </si>
  <si>
    <t>EC06</t>
  </si>
  <si>
    <t>El Oro</t>
  </si>
  <si>
    <t>EC07</t>
  </si>
  <si>
    <t>Esmeraldas</t>
  </si>
  <si>
    <t>EC08</t>
  </si>
  <si>
    <t>Guayas</t>
  </si>
  <si>
    <t>EC09</t>
  </si>
  <si>
    <t>Imbabura</t>
  </si>
  <si>
    <t>EC10</t>
  </si>
  <si>
    <t>Loja</t>
  </si>
  <si>
    <t>EC11</t>
  </si>
  <si>
    <t>Los Ríos</t>
  </si>
  <si>
    <t>EC12</t>
  </si>
  <si>
    <t>Manabí</t>
  </si>
  <si>
    <t>EC13</t>
  </si>
  <si>
    <t>Morona Santiago</t>
  </si>
  <si>
    <t>EC14</t>
  </si>
  <si>
    <t>Napo</t>
  </si>
  <si>
    <t>EC15</t>
  </si>
  <si>
    <t>Pastaza</t>
  </si>
  <si>
    <t>EC16</t>
  </si>
  <si>
    <t>Pichincha</t>
  </si>
  <si>
    <t>EC17</t>
  </si>
  <si>
    <t>Tungurahua</t>
  </si>
  <si>
    <t>EC18</t>
  </si>
  <si>
    <t>Zamora Chinchipe</t>
  </si>
  <si>
    <t>EC19</t>
  </si>
  <si>
    <t>Galápagos</t>
  </si>
  <si>
    <t>EC20</t>
  </si>
  <si>
    <t>Sucumbíos</t>
  </si>
  <si>
    <t>EC21</t>
  </si>
  <si>
    <t>Orellana</t>
  </si>
  <si>
    <t>EC22</t>
  </si>
  <si>
    <t>Santo Domingo de los Tsáchilas</t>
  </si>
  <si>
    <t>EC23</t>
  </si>
  <si>
    <t>Santa Elena</t>
  </si>
  <si>
    <t>EC24</t>
  </si>
  <si>
    <t>ECISLA</t>
  </si>
  <si>
    <t>ECNO APLICA</t>
  </si>
  <si>
    <t>Isla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</si>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</sst>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671D-964C-4A8F-9219-65BB8D9C2718}">
  <dimension ref="A1:B2"/>
  <sheetViews>
    <sheetView tabSelected="1" workbookViewId="0">
      <pane ySplit="1" topLeftCell="A2" activePane="bottomLeft" state="frozen"/>
      <selection pane="bottomLeft"/>
    </sheetView>
  </sheetViews>
  <sheetFormatPr baseColWidth="10" defaultColWidth="11.5" defaultRowHeight="13" x14ac:dyDescent="0.15"/>
  <sheetData>
    <row r="1" spans="1:2" x14ac:dyDescent="0.15">
      <c r="A1" t="s">
        <v>2022</v>
      </c>
      <c r="B1" t="s">
        <v>1977</v>
      </c>
    </row>
    <row r="2" spans="1:2" x14ac:dyDescent="0.15">
      <c r="A2" t="s">
        <v>2023</v>
      </c>
      <c r="B2" t="s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12C0-B4D5-441E-97C5-6696E18B4280}">
  <dimension ref="A1:F27"/>
  <sheetViews>
    <sheetView workbookViewId="0">
      <pane ySplit="1" topLeftCell="A2" activePane="bottomLeft" state="frozen"/>
      <selection pane="bottomLeft"/>
    </sheetView>
  </sheetViews>
  <sheetFormatPr baseColWidth="10" defaultColWidth="11.5" defaultRowHeight="13" x14ac:dyDescent="0.15"/>
  <cols>
    <col min="1" max="1" width="12.83203125" bestFit="1" customWidth="1"/>
    <col min="2" max="2" width="35.6640625" bestFit="1" customWidth="1"/>
    <col min="3" max="3" width="35.6640625" customWidth="1"/>
  </cols>
  <sheetData>
    <row r="1" spans="1:6" x14ac:dyDescent="0.15">
      <c r="A1" t="s">
        <v>1978</v>
      </c>
      <c r="B1" t="s">
        <v>1979</v>
      </c>
      <c r="C1" t="s">
        <v>2295</v>
      </c>
      <c r="D1" t="s">
        <v>1976</v>
      </c>
      <c r="E1" t="s">
        <v>2022</v>
      </c>
      <c r="F1" t="s">
        <v>1977</v>
      </c>
    </row>
    <row r="2" spans="1:6" x14ac:dyDescent="0.15">
      <c r="A2" t="s">
        <v>1980</v>
      </c>
      <c r="B2" t="s">
        <v>1981</v>
      </c>
      <c r="C2" t="str">
        <f>SUBSTITUTE(SUBSTITUTE(SUBSTITUTE(SUBSTITUTE(SUBSTITUTE(SUBSTITUTE(PROPER($B2)," De "," de ")," La "," la ")," Del "," del ")," Los "," los ")," Y "," y "),"En","en")</f>
        <v>Azuay</v>
      </c>
      <c r="D2" t="str">
        <f>"EC"&amp;A2</f>
        <v>EC01</v>
      </c>
      <c r="E2" t="s">
        <v>2023</v>
      </c>
      <c r="F2" t="s">
        <v>2021</v>
      </c>
    </row>
    <row r="3" spans="1:6" x14ac:dyDescent="0.15">
      <c r="A3" t="s">
        <v>1982</v>
      </c>
      <c r="B3" t="s">
        <v>156</v>
      </c>
      <c r="C3" t="str">
        <f t="shared" ref="C3:C27" si="0">SUBSTITUTE(SUBSTITUTE(SUBSTITUTE(SUBSTITUTE(SUBSTITUTE(SUBSTITUTE(PROPER($B3)," De "," de ")," La "," la ")," Del "," del ")," Los "," los ")," Y "," y "),"En","en")</f>
        <v>Bolívar</v>
      </c>
      <c r="D3" t="str">
        <f t="shared" ref="D3:D27" si="1">"EC"&amp;A3</f>
        <v>EC02</v>
      </c>
      <c r="E3" t="s">
        <v>2023</v>
      </c>
      <c r="F3" t="s">
        <v>2021</v>
      </c>
    </row>
    <row r="4" spans="1:6" x14ac:dyDescent="0.15">
      <c r="A4" t="s">
        <v>1983</v>
      </c>
      <c r="B4" t="s">
        <v>208</v>
      </c>
      <c r="C4" t="str">
        <f t="shared" si="0"/>
        <v>Cañar</v>
      </c>
      <c r="D4" t="str">
        <f t="shared" si="1"/>
        <v>EC03</v>
      </c>
      <c r="E4" t="s">
        <v>2023</v>
      </c>
      <c r="F4" t="s">
        <v>2021</v>
      </c>
    </row>
    <row r="5" spans="1:6" x14ac:dyDescent="0.15">
      <c r="A5" t="s">
        <v>1984</v>
      </c>
      <c r="B5" t="s">
        <v>1985</v>
      </c>
      <c r="C5" t="str">
        <f t="shared" si="0"/>
        <v>Carchi</v>
      </c>
      <c r="D5" t="str">
        <f t="shared" si="1"/>
        <v>EC04</v>
      </c>
      <c r="E5" t="s">
        <v>2023</v>
      </c>
      <c r="F5" t="s">
        <v>2021</v>
      </c>
    </row>
    <row r="6" spans="1:6" x14ac:dyDescent="0.15">
      <c r="A6" t="s">
        <v>1986</v>
      </c>
      <c r="B6" t="s">
        <v>1987</v>
      </c>
      <c r="C6" t="str">
        <f t="shared" si="0"/>
        <v>Cotopaxi</v>
      </c>
      <c r="D6" t="str">
        <f t="shared" si="1"/>
        <v>EC05</v>
      </c>
      <c r="E6" t="s">
        <v>2023</v>
      </c>
      <c r="F6" t="s">
        <v>2021</v>
      </c>
    </row>
    <row r="7" spans="1:6" x14ac:dyDescent="0.15">
      <c r="A7" t="s">
        <v>1988</v>
      </c>
      <c r="B7" t="s">
        <v>1989</v>
      </c>
      <c r="C7" t="str">
        <f t="shared" si="0"/>
        <v>Chimborazo</v>
      </c>
      <c r="D7" t="str">
        <f t="shared" si="1"/>
        <v>EC06</v>
      </c>
      <c r="E7" t="s">
        <v>2023</v>
      </c>
      <c r="F7" t="s">
        <v>2021</v>
      </c>
    </row>
    <row r="8" spans="1:6" x14ac:dyDescent="0.15">
      <c r="A8" t="s">
        <v>1990</v>
      </c>
      <c r="B8" t="s">
        <v>1991</v>
      </c>
      <c r="C8" t="str">
        <f t="shared" si="0"/>
        <v>El Oro</v>
      </c>
      <c r="D8" t="str">
        <f t="shared" si="1"/>
        <v>EC07</v>
      </c>
      <c r="E8" t="s">
        <v>2023</v>
      </c>
      <c r="F8" t="s">
        <v>2021</v>
      </c>
    </row>
    <row r="9" spans="1:6" x14ac:dyDescent="0.15">
      <c r="A9" t="s">
        <v>1992</v>
      </c>
      <c r="B9" t="s">
        <v>645</v>
      </c>
      <c r="C9" t="str">
        <f t="shared" si="0"/>
        <v>Esmeraldas</v>
      </c>
      <c r="D9" t="str">
        <f t="shared" si="1"/>
        <v>EC08</v>
      </c>
      <c r="E9" t="s">
        <v>2023</v>
      </c>
      <c r="F9" t="s">
        <v>2021</v>
      </c>
    </row>
    <row r="10" spans="1:6" x14ac:dyDescent="0.15">
      <c r="A10" t="s">
        <v>1993</v>
      </c>
      <c r="B10" t="s">
        <v>767</v>
      </c>
      <c r="C10" t="str">
        <f t="shared" si="0"/>
        <v>Guayas</v>
      </c>
      <c r="D10" t="str">
        <f t="shared" si="1"/>
        <v>EC09</v>
      </c>
      <c r="E10" t="s">
        <v>2023</v>
      </c>
      <c r="F10" t="s">
        <v>2021</v>
      </c>
    </row>
    <row r="11" spans="1:6" x14ac:dyDescent="0.15">
      <c r="A11" t="s">
        <v>1994</v>
      </c>
      <c r="B11" t="s">
        <v>1995</v>
      </c>
      <c r="C11" t="str">
        <f t="shared" si="0"/>
        <v>Imbabura</v>
      </c>
      <c r="D11" t="str">
        <f t="shared" si="1"/>
        <v>EC10</v>
      </c>
      <c r="E11" t="s">
        <v>2023</v>
      </c>
      <c r="F11" t="s">
        <v>2021</v>
      </c>
    </row>
    <row r="12" spans="1:6" x14ac:dyDescent="0.15">
      <c r="A12" t="s">
        <v>1996</v>
      </c>
      <c r="B12" t="s">
        <v>945</v>
      </c>
      <c r="C12" t="str">
        <f t="shared" si="0"/>
        <v>Loja</v>
      </c>
      <c r="D12" t="str">
        <f t="shared" si="1"/>
        <v>EC11</v>
      </c>
      <c r="E12" t="s">
        <v>2023</v>
      </c>
      <c r="F12" t="s">
        <v>2021</v>
      </c>
    </row>
    <row r="13" spans="1:6" x14ac:dyDescent="0.15">
      <c r="A13" t="s">
        <v>1997</v>
      </c>
      <c r="B13" t="s">
        <v>1998</v>
      </c>
      <c r="C13" t="str">
        <f t="shared" si="0"/>
        <v>Los Ríos</v>
      </c>
      <c r="D13" t="str">
        <f t="shared" si="1"/>
        <v>EC12</v>
      </c>
      <c r="E13" t="s">
        <v>2023</v>
      </c>
      <c r="F13" t="s">
        <v>2021</v>
      </c>
    </row>
    <row r="14" spans="1:6" x14ac:dyDescent="0.15">
      <c r="A14" t="s">
        <v>1999</v>
      </c>
      <c r="B14" t="s">
        <v>2000</v>
      </c>
      <c r="C14" t="str">
        <f t="shared" si="0"/>
        <v>Manabí</v>
      </c>
      <c r="D14" t="str">
        <f t="shared" si="1"/>
        <v>EC13</v>
      </c>
      <c r="E14" t="s">
        <v>2023</v>
      </c>
      <c r="F14" t="s">
        <v>2021</v>
      </c>
    </row>
    <row r="15" spans="1:6" x14ac:dyDescent="0.15">
      <c r="A15" t="s">
        <v>2001</v>
      </c>
      <c r="B15" t="s">
        <v>2002</v>
      </c>
      <c r="C15" t="str">
        <f t="shared" si="0"/>
        <v>Morona Santiago</v>
      </c>
      <c r="D15" t="str">
        <f t="shared" si="1"/>
        <v>EC14</v>
      </c>
      <c r="E15" t="s">
        <v>2023</v>
      </c>
      <c r="F15" t="s">
        <v>2021</v>
      </c>
    </row>
    <row r="16" spans="1:6" x14ac:dyDescent="0.15">
      <c r="A16" t="s">
        <v>2003</v>
      </c>
      <c r="B16" t="s">
        <v>2004</v>
      </c>
      <c r="C16" t="str">
        <f t="shared" si="0"/>
        <v>Napo</v>
      </c>
      <c r="D16" t="str">
        <f t="shared" si="1"/>
        <v>EC15</v>
      </c>
      <c r="E16" t="s">
        <v>2023</v>
      </c>
      <c r="F16" t="s">
        <v>2021</v>
      </c>
    </row>
    <row r="17" spans="1:6" x14ac:dyDescent="0.15">
      <c r="A17" t="s">
        <v>2005</v>
      </c>
      <c r="B17" t="s">
        <v>2006</v>
      </c>
      <c r="C17" t="str">
        <f t="shared" si="0"/>
        <v>Pastaza</v>
      </c>
      <c r="D17" t="str">
        <f t="shared" si="1"/>
        <v>EC16</v>
      </c>
      <c r="E17" t="s">
        <v>2023</v>
      </c>
      <c r="F17" t="s">
        <v>2021</v>
      </c>
    </row>
    <row r="18" spans="1:6" x14ac:dyDescent="0.15">
      <c r="A18" t="s">
        <v>2007</v>
      </c>
      <c r="B18" t="s">
        <v>1261</v>
      </c>
      <c r="C18" t="str">
        <f t="shared" si="0"/>
        <v>Pichincha</v>
      </c>
      <c r="D18" t="str">
        <f t="shared" si="1"/>
        <v>EC17</v>
      </c>
      <c r="E18" t="s">
        <v>2023</v>
      </c>
      <c r="F18" t="s">
        <v>2021</v>
      </c>
    </row>
    <row r="19" spans="1:6" x14ac:dyDescent="0.15">
      <c r="A19" t="s">
        <v>2008</v>
      </c>
      <c r="B19" t="s">
        <v>2009</v>
      </c>
      <c r="C19" t="str">
        <f t="shared" si="0"/>
        <v>Tungurahua</v>
      </c>
      <c r="D19" t="str">
        <f t="shared" si="1"/>
        <v>EC18</v>
      </c>
      <c r="E19" t="s">
        <v>2023</v>
      </c>
      <c r="F19" t="s">
        <v>2021</v>
      </c>
    </row>
    <row r="20" spans="1:6" x14ac:dyDescent="0.15">
      <c r="A20" t="s">
        <v>2010</v>
      </c>
      <c r="B20" t="s">
        <v>2011</v>
      </c>
      <c r="C20" t="str">
        <f t="shared" si="0"/>
        <v>Zamora Chinchipe</v>
      </c>
      <c r="D20" t="str">
        <f t="shared" si="1"/>
        <v>EC19</v>
      </c>
      <c r="E20" t="s">
        <v>2023</v>
      </c>
      <c r="F20" t="s">
        <v>2021</v>
      </c>
    </row>
    <row r="21" spans="1:6" x14ac:dyDescent="0.15">
      <c r="A21" t="s">
        <v>2012</v>
      </c>
      <c r="B21" t="s">
        <v>2013</v>
      </c>
      <c r="C21" t="str">
        <f t="shared" si="0"/>
        <v>Galápagos</v>
      </c>
      <c r="D21" t="str">
        <f t="shared" si="1"/>
        <v>EC20</v>
      </c>
      <c r="E21" t="s">
        <v>2023</v>
      </c>
      <c r="F21" t="s">
        <v>2021</v>
      </c>
    </row>
    <row r="22" spans="1:6" x14ac:dyDescent="0.15">
      <c r="A22" t="s">
        <v>2014</v>
      </c>
      <c r="B22" t="s">
        <v>2015</v>
      </c>
      <c r="C22" t="str">
        <f t="shared" si="0"/>
        <v>Sucumbíos</v>
      </c>
      <c r="D22" t="str">
        <f t="shared" si="1"/>
        <v>EC21</v>
      </c>
      <c r="E22" t="s">
        <v>2023</v>
      </c>
      <c r="F22" t="s">
        <v>2021</v>
      </c>
    </row>
    <row r="23" spans="1:6" x14ac:dyDescent="0.15">
      <c r="A23" t="s">
        <v>2016</v>
      </c>
      <c r="B23" t="s">
        <v>2017</v>
      </c>
      <c r="C23" t="str">
        <f t="shared" si="0"/>
        <v>Orellana</v>
      </c>
      <c r="D23" t="str">
        <f t="shared" si="1"/>
        <v>EC22</v>
      </c>
      <c r="E23" t="s">
        <v>2023</v>
      </c>
      <c r="F23" t="s">
        <v>2021</v>
      </c>
    </row>
    <row r="24" spans="1:6" x14ac:dyDescent="0.15">
      <c r="A24" t="s">
        <v>2018</v>
      </c>
      <c r="B24" t="s">
        <v>2019</v>
      </c>
      <c r="C24" t="str">
        <f t="shared" si="0"/>
        <v>Santo Domingo de los Tsáchilas</v>
      </c>
      <c r="D24" t="str">
        <f t="shared" si="1"/>
        <v>EC23</v>
      </c>
      <c r="E24" t="s">
        <v>2023</v>
      </c>
      <c r="F24" t="s">
        <v>2021</v>
      </c>
    </row>
    <row r="25" spans="1:6" x14ac:dyDescent="0.15">
      <c r="A25" t="s">
        <v>2020</v>
      </c>
      <c r="B25" t="s">
        <v>1833</v>
      </c>
      <c r="C25" t="str">
        <f t="shared" si="0"/>
        <v>Santa Elena</v>
      </c>
      <c r="D25" t="str">
        <f t="shared" si="1"/>
        <v>EC24</v>
      </c>
      <c r="E25" t="s">
        <v>2023</v>
      </c>
      <c r="F25" t="s">
        <v>2021</v>
      </c>
    </row>
    <row r="26" spans="1:6" x14ac:dyDescent="0.15">
      <c r="A26" t="s">
        <v>1971</v>
      </c>
      <c r="B26" t="s">
        <v>1971</v>
      </c>
      <c r="C26" t="str">
        <f t="shared" si="0"/>
        <v>Isla</v>
      </c>
      <c r="D26" t="str">
        <f t="shared" si="1"/>
        <v>ECISLA</v>
      </c>
      <c r="E26" t="s">
        <v>2023</v>
      </c>
      <c r="F26" t="s">
        <v>2021</v>
      </c>
    </row>
    <row r="27" spans="1:6" x14ac:dyDescent="0.15">
      <c r="A27" t="s">
        <v>1972</v>
      </c>
      <c r="B27" t="s">
        <v>1972</v>
      </c>
      <c r="C27" t="str">
        <f t="shared" si="0"/>
        <v>No Aplica</v>
      </c>
      <c r="D27" t="str">
        <f t="shared" si="1"/>
        <v>ECNO APLICA</v>
      </c>
      <c r="E27" t="s">
        <v>2023</v>
      </c>
      <c r="F27" t="s"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F6EE-EFED-4694-975C-AD1909A7F227}">
  <dimension ref="A1:H224"/>
  <sheetViews>
    <sheetView workbookViewId="0">
      <pane ySplit="1" topLeftCell="A2" activePane="bottomLeft" state="frozen"/>
      <selection pane="bottomLeft"/>
    </sheetView>
  </sheetViews>
  <sheetFormatPr baseColWidth="10" defaultColWidth="11.5" defaultRowHeight="13" x14ac:dyDescent="0.15"/>
  <cols>
    <col min="1" max="1" width="13.5" bestFit="1" customWidth="1"/>
    <col min="2" max="2" width="46.83203125" bestFit="1" customWidth="1"/>
    <col min="3" max="3" width="37.5" bestFit="1" customWidth="1"/>
  </cols>
  <sheetData>
    <row r="1" spans="1:8" x14ac:dyDescent="0.15">
      <c r="A1" t="s">
        <v>2294</v>
      </c>
      <c r="B1" t="s">
        <v>2293</v>
      </c>
      <c r="C1" t="s">
        <v>2298</v>
      </c>
      <c r="D1" t="s">
        <v>1975</v>
      </c>
      <c r="E1" t="s">
        <v>2295</v>
      </c>
      <c r="F1" t="s">
        <v>1976</v>
      </c>
      <c r="G1" t="s">
        <v>2022</v>
      </c>
      <c r="H1" t="s">
        <v>1977</v>
      </c>
    </row>
    <row r="2" spans="1:8" x14ac:dyDescent="0.15">
      <c r="A2" t="s">
        <v>2292</v>
      </c>
      <c r="B2" t="s">
        <v>3</v>
      </c>
      <c r="C2" t="str">
        <f>SUBSTITUTE(SUBSTITUTE(SUBSTITUTE(SUBSTITUTE(SUBSTITUTE(SUBSTITUTE(PROPER($B2)," De "," de ")," La "," la ")," Del "," del ")," Los "," los ")," Y "," y "),"En","en")</f>
        <v>Cuenca</v>
      </c>
      <c r="D2" t="str">
        <f>"EC"&amp;A2</f>
        <v>EC0101</v>
      </c>
      <c r="E2" t="s">
        <v>2299</v>
      </c>
      <c r="F2" t="s">
        <v>2300</v>
      </c>
      <c r="G2" t="s">
        <v>2023</v>
      </c>
      <c r="H2" t="s">
        <v>2021</v>
      </c>
    </row>
    <row r="3" spans="1:8" x14ac:dyDescent="0.15">
      <c r="A3" t="s">
        <v>2291</v>
      </c>
      <c r="B3" t="s">
        <v>47</v>
      </c>
      <c r="C3" t="str">
        <f t="shared" ref="C3:C66" si="0">SUBSTITUTE(SUBSTITUTE(SUBSTITUTE(SUBSTITUTE(SUBSTITUTE(SUBSTITUTE(PROPER($B3)," De "," de ")," La "," la ")," Del "," del ")," Los "," los ")," Y "," y "),"En","en")</f>
        <v>Girón</v>
      </c>
      <c r="D3" t="str">
        <f t="shared" ref="D3:D66" si="1">"EC"&amp;A3</f>
        <v>EC0102</v>
      </c>
      <c r="E3" t="s">
        <v>2299</v>
      </c>
      <c r="F3" t="s">
        <v>2300</v>
      </c>
      <c r="G3" t="s">
        <v>2023</v>
      </c>
      <c r="H3" t="s">
        <v>2021</v>
      </c>
    </row>
    <row r="4" spans="1:8" x14ac:dyDescent="0.15">
      <c r="A4" t="s">
        <v>2290</v>
      </c>
      <c r="B4" t="s">
        <v>53</v>
      </c>
      <c r="C4" t="str">
        <f t="shared" si="0"/>
        <v>Gualaceo</v>
      </c>
      <c r="D4" t="str">
        <f t="shared" si="1"/>
        <v>EC0103</v>
      </c>
      <c r="E4" t="s">
        <v>2299</v>
      </c>
      <c r="F4" t="s">
        <v>2300</v>
      </c>
      <c r="G4" t="s">
        <v>2023</v>
      </c>
      <c r="H4" t="s">
        <v>2021</v>
      </c>
    </row>
    <row r="5" spans="1:8" x14ac:dyDescent="0.15">
      <c r="A5" t="s">
        <v>2289</v>
      </c>
      <c r="B5" t="s">
        <v>71</v>
      </c>
      <c r="C5" t="str">
        <f t="shared" si="0"/>
        <v>Nabón</v>
      </c>
      <c r="D5" t="str">
        <f t="shared" si="1"/>
        <v>EC0104</v>
      </c>
      <c r="E5" t="s">
        <v>2299</v>
      </c>
      <c r="F5" t="s">
        <v>2300</v>
      </c>
      <c r="G5" t="s">
        <v>2023</v>
      </c>
      <c r="H5" t="s">
        <v>2021</v>
      </c>
    </row>
    <row r="6" spans="1:8" x14ac:dyDescent="0.15">
      <c r="A6" t="s">
        <v>2288</v>
      </c>
      <c r="B6" t="s">
        <v>79</v>
      </c>
      <c r="C6" t="str">
        <f t="shared" si="0"/>
        <v>Paute</v>
      </c>
      <c r="D6" t="str">
        <f t="shared" si="1"/>
        <v>EC0105</v>
      </c>
      <c r="E6" t="s">
        <v>2299</v>
      </c>
      <c r="F6" t="s">
        <v>2300</v>
      </c>
      <c r="G6" t="s">
        <v>2023</v>
      </c>
      <c r="H6" t="s">
        <v>2021</v>
      </c>
    </row>
    <row r="7" spans="1:8" x14ac:dyDescent="0.15">
      <c r="A7" t="s">
        <v>2287</v>
      </c>
      <c r="B7" t="s">
        <v>95</v>
      </c>
      <c r="C7" t="str">
        <f t="shared" si="0"/>
        <v>Pucará</v>
      </c>
      <c r="D7" t="str">
        <f t="shared" si="1"/>
        <v>EC0106</v>
      </c>
      <c r="E7" t="s">
        <v>2299</v>
      </c>
      <c r="F7" t="s">
        <v>2300</v>
      </c>
      <c r="G7" t="s">
        <v>2023</v>
      </c>
      <c r="H7" t="s">
        <v>2021</v>
      </c>
    </row>
    <row r="8" spans="1:8" x14ac:dyDescent="0.15">
      <c r="A8" t="s">
        <v>2286</v>
      </c>
      <c r="B8" t="s">
        <v>99</v>
      </c>
      <c r="C8" t="str">
        <f t="shared" si="0"/>
        <v>San Fernando</v>
      </c>
      <c r="D8" t="str">
        <f t="shared" si="1"/>
        <v>EC0107</v>
      </c>
      <c r="E8" t="s">
        <v>2299</v>
      </c>
      <c r="F8" t="s">
        <v>2300</v>
      </c>
      <c r="G8" t="s">
        <v>2023</v>
      </c>
      <c r="H8" t="s">
        <v>2021</v>
      </c>
    </row>
    <row r="9" spans="1:8" x14ac:dyDescent="0.15">
      <c r="A9" t="s">
        <v>2285</v>
      </c>
      <c r="B9" t="s">
        <v>103</v>
      </c>
      <c r="C9" t="str">
        <f t="shared" si="0"/>
        <v>Santa Isabel</v>
      </c>
      <c r="D9" t="str">
        <f t="shared" si="1"/>
        <v>EC0108</v>
      </c>
      <c r="E9" t="s">
        <v>2299</v>
      </c>
      <c r="F9" t="s">
        <v>2300</v>
      </c>
      <c r="G9" t="s">
        <v>2023</v>
      </c>
      <c r="H9" t="s">
        <v>2021</v>
      </c>
    </row>
    <row r="10" spans="1:8" x14ac:dyDescent="0.15">
      <c r="A10" t="s">
        <v>2284</v>
      </c>
      <c r="B10" t="s">
        <v>113</v>
      </c>
      <c r="C10" t="str">
        <f t="shared" si="0"/>
        <v>Sígsig</v>
      </c>
      <c r="D10" t="str">
        <f t="shared" si="1"/>
        <v>EC0109</v>
      </c>
      <c r="E10" t="s">
        <v>2299</v>
      </c>
      <c r="F10" t="s">
        <v>2300</v>
      </c>
      <c r="G10" t="s">
        <v>2023</v>
      </c>
      <c r="H10" t="s">
        <v>2021</v>
      </c>
    </row>
    <row r="11" spans="1:8" x14ac:dyDescent="0.15">
      <c r="A11" t="s">
        <v>2283</v>
      </c>
      <c r="B11" t="s">
        <v>2282</v>
      </c>
      <c r="C11" t="str">
        <f t="shared" si="0"/>
        <v>Oña</v>
      </c>
      <c r="D11" t="str">
        <f t="shared" si="1"/>
        <v>EC0110</v>
      </c>
      <c r="E11" t="s">
        <v>2299</v>
      </c>
      <c r="F11" t="s">
        <v>2300</v>
      </c>
      <c r="G11" t="s">
        <v>2023</v>
      </c>
      <c r="H11" t="s">
        <v>2021</v>
      </c>
    </row>
    <row r="12" spans="1:8" x14ac:dyDescent="0.15">
      <c r="A12" t="s">
        <v>2281</v>
      </c>
      <c r="B12" t="s">
        <v>131</v>
      </c>
      <c r="C12" t="str">
        <f t="shared" si="0"/>
        <v>Chordeleg</v>
      </c>
      <c r="D12" t="str">
        <f t="shared" si="1"/>
        <v>EC0111</v>
      </c>
      <c r="E12" t="s">
        <v>2299</v>
      </c>
      <c r="F12" t="s">
        <v>2300</v>
      </c>
      <c r="G12" t="s">
        <v>2023</v>
      </c>
      <c r="H12" t="s">
        <v>2021</v>
      </c>
    </row>
    <row r="13" spans="1:8" x14ac:dyDescent="0.15">
      <c r="A13" t="s">
        <v>2280</v>
      </c>
      <c r="B13" t="s">
        <v>141</v>
      </c>
      <c r="C13" t="str">
        <f t="shared" si="0"/>
        <v>El Pan</v>
      </c>
      <c r="D13" t="str">
        <f t="shared" si="1"/>
        <v>EC0112</v>
      </c>
      <c r="E13" t="s">
        <v>2299</v>
      </c>
      <c r="F13" t="s">
        <v>2300</v>
      </c>
      <c r="G13" t="s">
        <v>2023</v>
      </c>
      <c r="H13" t="s">
        <v>2021</v>
      </c>
    </row>
    <row r="14" spans="1:8" x14ac:dyDescent="0.15">
      <c r="A14" t="s">
        <v>2279</v>
      </c>
      <c r="B14" t="s">
        <v>145</v>
      </c>
      <c r="C14" t="str">
        <f t="shared" si="0"/>
        <v>Sevilla de Oro</v>
      </c>
      <c r="D14" t="str">
        <f t="shared" si="1"/>
        <v>EC0113</v>
      </c>
      <c r="E14" t="s">
        <v>2299</v>
      </c>
      <c r="F14" t="s">
        <v>2300</v>
      </c>
      <c r="G14" t="s">
        <v>2023</v>
      </c>
      <c r="H14" t="s">
        <v>2021</v>
      </c>
    </row>
    <row r="15" spans="1:8" x14ac:dyDescent="0.15">
      <c r="A15" t="s">
        <v>2278</v>
      </c>
      <c r="B15" t="s">
        <v>151</v>
      </c>
      <c r="C15" t="str">
        <f t="shared" si="0"/>
        <v>Guachapala</v>
      </c>
      <c r="D15" t="str">
        <f t="shared" si="1"/>
        <v>EC0114</v>
      </c>
      <c r="E15" t="s">
        <v>2299</v>
      </c>
      <c r="F15" t="s">
        <v>2300</v>
      </c>
      <c r="G15" t="s">
        <v>2023</v>
      </c>
      <c r="H15" t="s">
        <v>2021</v>
      </c>
    </row>
    <row r="16" spans="1:8" x14ac:dyDescent="0.15">
      <c r="A16" t="s">
        <v>2277</v>
      </c>
      <c r="B16" t="s">
        <v>153</v>
      </c>
      <c r="C16" t="str">
        <f t="shared" si="0"/>
        <v>Camilo Ponce enríquez</v>
      </c>
      <c r="D16" t="str">
        <f t="shared" si="1"/>
        <v>EC0115</v>
      </c>
      <c r="E16" t="s">
        <v>2299</v>
      </c>
      <c r="F16" t="s">
        <v>2300</v>
      </c>
      <c r="G16" t="s">
        <v>2023</v>
      </c>
      <c r="H16" t="s">
        <v>2021</v>
      </c>
    </row>
    <row r="17" spans="1:8" x14ac:dyDescent="0.15">
      <c r="A17" t="s">
        <v>2276</v>
      </c>
      <c r="B17" t="s">
        <v>155</v>
      </c>
      <c r="C17" t="str">
        <f t="shared" si="0"/>
        <v>Guaranda</v>
      </c>
      <c r="D17" t="str">
        <f t="shared" si="1"/>
        <v>EC0201</v>
      </c>
      <c r="E17" t="s">
        <v>2301</v>
      </c>
      <c r="F17" t="s">
        <v>2302</v>
      </c>
      <c r="G17" t="s">
        <v>2023</v>
      </c>
      <c r="H17" t="s">
        <v>2021</v>
      </c>
    </row>
    <row r="18" spans="1:8" x14ac:dyDescent="0.15">
      <c r="A18" t="s">
        <v>2275</v>
      </c>
      <c r="B18" t="s">
        <v>174</v>
      </c>
      <c r="C18" t="str">
        <f t="shared" si="0"/>
        <v>Chillanes</v>
      </c>
      <c r="D18" t="str">
        <f t="shared" si="1"/>
        <v>EC0202</v>
      </c>
      <c r="E18" t="s">
        <v>2301</v>
      </c>
      <c r="F18" t="s">
        <v>2302</v>
      </c>
      <c r="G18" t="s">
        <v>2023</v>
      </c>
      <c r="H18" t="s">
        <v>2021</v>
      </c>
    </row>
    <row r="19" spans="1:8" x14ac:dyDescent="0.15">
      <c r="A19" t="s">
        <v>2274</v>
      </c>
      <c r="B19" t="s">
        <v>2273</v>
      </c>
      <c r="C19" t="str">
        <f t="shared" si="0"/>
        <v>Chimbo</v>
      </c>
      <c r="D19" t="str">
        <f t="shared" si="1"/>
        <v>EC0203</v>
      </c>
      <c r="E19" t="s">
        <v>2301</v>
      </c>
      <c r="F19" t="s">
        <v>2302</v>
      </c>
      <c r="G19" t="s">
        <v>2023</v>
      </c>
      <c r="H19" t="s">
        <v>2021</v>
      </c>
    </row>
    <row r="20" spans="1:8" x14ac:dyDescent="0.15">
      <c r="A20" t="s">
        <v>2272</v>
      </c>
      <c r="B20" t="s">
        <v>188</v>
      </c>
      <c r="C20" t="str">
        <f t="shared" si="0"/>
        <v>Echeandía</v>
      </c>
      <c r="D20" t="str">
        <f t="shared" si="1"/>
        <v>EC0204</v>
      </c>
      <c r="E20" t="s">
        <v>2301</v>
      </c>
      <c r="F20" t="s">
        <v>2302</v>
      </c>
      <c r="G20" t="s">
        <v>2023</v>
      </c>
      <c r="H20" t="s">
        <v>2021</v>
      </c>
    </row>
    <row r="21" spans="1:8" x14ac:dyDescent="0.15">
      <c r="A21" t="s">
        <v>2271</v>
      </c>
      <c r="B21" t="s">
        <v>190</v>
      </c>
      <c r="C21" t="str">
        <f t="shared" si="0"/>
        <v>San Miguel</v>
      </c>
      <c r="D21" t="str">
        <f t="shared" si="1"/>
        <v>EC0205</v>
      </c>
      <c r="E21" t="s">
        <v>2301</v>
      </c>
      <c r="F21" t="s">
        <v>2302</v>
      </c>
      <c r="G21" t="s">
        <v>2023</v>
      </c>
      <c r="H21" t="s">
        <v>2021</v>
      </c>
    </row>
    <row r="22" spans="1:8" x14ac:dyDescent="0.15">
      <c r="A22" t="s">
        <v>2270</v>
      </c>
      <c r="B22" t="s">
        <v>203</v>
      </c>
      <c r="C22" t="str">
        <f t="shared" si="0"/>
        <v>Caluma</v>
      </c>
      <c r="D22" t="str">
        <f t="shared" si="1"/>
        <v>EC0206</v>
      </c>
      <c r="E22" t="s">
        <v>2301</v>
      </c>
      <c r="F22" t="s">
        <v>2302</v>
      </c>
      <c r="G22" t="s">
        <v>2023</v>
      </c>
      <c r="H22" t="s">
        <v>2021</v>
      </c>
    </row>
    <row r="23" spans="1:8" x14ac:dyDescent="0.15">
      <c r="A23" t="s">
        <v>2269</v>
      </c>
      <c r="B23" t="s">
        <v>205</v>
      </c>
      <c r="C23" t="str">
        <f t="shared" si="0"/>
        <v>Las Naves</v>
      </c>
      <c r="D23" t="str">
        <f t="shared" si="1"/>
        <v>EC0207</v>
      </c>
      <c r="E23" t="s">
        <v>2301</v>
      </c>
      <c r="F23" t="s">
        <v>2302</v>
      </c>
      <c r="G23" t="s">
        <v>2023</v>
      </c>
      <c r="H23" t="s">
        <v>2021</v>
      </c>
    </row>
    <row r="24" spans="1:8" x14ac:dyDescent="0.15">
      <c r="A24" t="s">
        <v>2268</v>
      </c>
      <c r="B24" t="s">
        <v>207</v>
      </c>
      <c r="C24" t="str">
        <f t="shared" si="0"/>
        <v>Azogues</v>
      </c>
      <c r="D24" t="str">
        <f t="shared" si="1"/>
        <v>EC0301</v>
      </c>
      <c r="E24" t="s">
        <v>2303</v>
      </c>
      <c r="F24" t="s">
        <v>2304</v>
      </c>
      <c r="G24" t="s">
        <v>2023</v>
      </c>
      <c r="H24" t="s">
        <v>2021</v>
      </c>
    </row>
    <row r="25" spans="1:8" x14ac:dyDescent="0.15">
      <c r="A25" t="s">
        <v>2267</v>
      </c>
      <c r="B25" t="s">
        <v>225</v>
      </c>
      <c r="C25" t="str">
        <f t="shared" si="0"/>
        <v>Biblián</v>
      </c>
      <c r="D25" t="str">
        <f t="shared" si="1"/>
        <v>EC0302</v>
      </c>
      <c r="E25" t="s">
        <v>2303</v>
      </c>
      <c r="F25" t="s">
        <v>2304</v>
      </c>
      <c r="G25" t="s">
        <v>2023</v>
      </c>
      <c r="H25" t="s">
        <v>2021</v>
      </c>
    </row>
    <row r="26" spans="1:8" x14ac:dyDescent="0.15">
      <c r="A26" t="s">
        <v>2266</v>
      </c>
      <c r="B26" t="s">
        <v>208</v>
      </c>
      <c r="C26" t="str">
        <f t="shared" si="0"/>
        <v>Cañar</v>
      </c>
      <c r="D26" t="str">
        <f t="shared" si="1"/>
        <v>EC0303</v>
      </c>
      <c r="E26" t="s">
        <v>2303</v>
      </c>
      <c r="F26" t="s">
        <v>2304</v>
      </c>
      <c r="G26" t="s">
        <v>2023</v>
      </c>
      <c r="H26" t="s">
        <v>2021</v>
      </c>
    </row>
    <row r="27" spans="1:8" x14ac:dyDescent="0.15">
      <c r="A27" t="s">
        <v>2265</v>
      </c>
      <c r="B27" t="s">
        <v>258</v>
      </c>
      <c r="C27" t="str">
        <f t="shared" si="0"/>
        <v>La Troncal</v>
      </c>
      <c r="D27" t="str">
        <f t="shared" si="1"/>
        <v>EC0304</v>
      </c>
      <c r="E27" t="s">
        <v>2303</v>
      </c>
      <c r="F27" t="s">
        <v>2304</v>
      </c>
      <c r="G27" t="s">
        <v>2023</v>
      </c>
      <c r="H27" t="s">
        <v>2021</v>
      </c>
    </row>
    <row r="28" spans="1:8" x14ac:dyDescent="0.15">
      <c r="A28" t="s">
        <v>2264</v>
      </c>
      <c r="B28" t="s">
        <v>264</v>
      </c>
      <c r="C28" t="str">
        <f t="shared" si="0"/>
        <v>El Tambo</v>
      </c>
      <c r="D28" t="str">
        <f t="shared" si="1"/>
        <v>EC0305</v>
      </c>
      <c r="E28" t="s">
        <v>2303</v>
      </c>
      <c r="F28" t="s">
        <v>2304</v>
      </c>
      <c r="G28" t="s">
        <v>2023</v>
      </c>
      <c r="H28" t="s">
        <v>2021</v>
      </c>
    </row>
    <row r="29" spans="1:8" x14ac:dyDescent="0.15">
      <c r="A29" t="s">
        <v>2263</v>
      </c>
      <c r="B29" t="s">
        <v>266</v>
      </c>
      <c r="C29" t="str">
        <f t="shared" si="0"/>
        <v>Déleg</v>
      </c>
      <c r="D29" t="str">
        <f t="shared" si="1"/>
        <v>EC0306</v>
      </c>
      <c r="E29" t="s">
        <v>2303</v>
      </c>
      <c r="F29" t="s">
        <v>2304</v>
      </c>
      <c r="G29" t="s">
        <v>2023</v>
      </c>
      <c r="H29" t="s">
        <v>2021</v>
      </c>
    </row>
    <row r="30" spans="1:8" x14ac:dyDescent="0.15">
      <c r="A30" t="s">
        <v>2262</v>
      </c>
      <c r="B30" t="s">
        <v>270</v>
      </c>
      <c r="C30" t="str">
        <f t="shared" si="0"/>
        <v>Suscal</v>
      </c>
      <c r="D30" t="str">
        <f t="shared" si="1"/>
        <v>EC0307</v>
      </c>
      <c r="E30" t="s">
        <v>2303</v>
      </c>
      <c r="F30" t="s">
        <v>2304</v>
      </c>
      <c r="G30" t="s">
        <v>2023</v>
      </c>
      <c r="H30" t="s">
        <v>2021</v>
      </c>
    </row>
    <row r="31" spans="1:8" x14ac:dyDescent="0.15">
      <c r="A31" t="s">
        <v>2261</v>
      </c>
      <c r="B31" t="s">
        <v>272</v>
      </c>
      <c r="C31" t="str">
        <f t="shared" si="0"/>
        <v>Tulcán</v>
      </c>
      <c r="D31" t="str">
        <f t="shared" si="1"/>
        <v>EC0401</v>
      </c>
      <c r="E31" t="s">
        <v>2305</v>
      </c>
      <c r="F31" t="s">
        <v>2306</v>
      </c>
      <c r="G31" t="s">
        <v>2023</v>
      </c>
      <c r="H31" t="s">
        <v>2021</v>
      </c>
    </row>
    <row r="32" spans="1:8" x14ac:dyDescent="0.15">
      <c r="A32" t="s">
        <v>2260</v>
      </c>
      <c r="B32" t="s">
        <v>156</v>
      </c>
      <c r="C32" t="str">
        <f t="shared" si="0"/>
        <v>Bolívar</v>
      </c>
      <c r="D32" t="str">
        <f t="shared" si="1"/>
        <v>EC0402</v>
      </c>
      <c r="E32" t="s">
        <v>2305</v>
      </c>
      <c r="F32" t="s">
        <v>2306</v>
      </c>
      <c r="G32" t="s">
        <v>2023</v>
      </c>
      <c r="H32" t="s">
        <v>2021</v>
      </c>
    </row>
    <row r="33" spans="1:8" x14ac:dyDescent="0.15">
      <c r="A33" t="s">
        <v>2259</v>
      </c>
      <c r="B33" t="s">
        <v>2258</v>
      </c>
      <c r="C33" t="str">
        <f t="shared" si="0"/>
        <v>Espejo</v>
      </c>
      <c r="D33" t="str">
        <f t="shared" si="1"/>
        <v>EC0403</v>
      </c>
      <c r="E33" t="s">
        <v>2305</v>
      </c>
      <c r="F33" t="s">
        <v>2306</v>
      </c>
      <c r="G33" t="s">
        <v>2023</v>
      </c>
      <c r="H33" t="s">
        <v>2021</v>
      </c>
    </row>
    <row r="34" spans="1:8" x14ac:dyDescent="0.15">
      <c r="A34" t="s">
        <v>2257</v>
      </c>
      <c r="B34" t="s">
        <v>311</v>
      </c>
      <c r="C34" t="str">
        <f t="shared" si="0"/>
        <v>Mira</v>
      </c>
      <c r="D34" t="str">
        <f t="shared" si="1"/>
        <v>EC0404</v>
      </c>
      <c r="E34" t="s">
        <v>2305</v>
      </c>
      <c r="F34" t="s">
        <v>2306</v>
      </c>
      <c r="G34" t="s">
        <v>2023</v>
      </c>
      <c r="H34" t="s">
        <v>2021</v>
      </c>
    </row>
    <row r="35" spans="1:8" x14ac:dyDescent="0.15">
      <c r="A35" t="s">
        <v>2256</v>
      </c>
      <c r="B35" t="s">
        <v>2255</v>
      </c>
      <c r="C35" t="str">
        <f t="shared" si="0"/>
        <v>Montúfar</v>
      </c>
      <c r="D35" t="str">
        <f t="shared" si="1"/>
        <v>EC0405</v>
      </c>
      <c r="E35" t="s">
        <v>2305</v>
      </c>
      <c r="F35" t="s">
        <v>2306</v>
      </c>
      <c r="G35" t="s">
        <v>2023</v>
      </c>
      <c r="H35" t="s">
        <v>2021</v>
      </c>
    </row>
    <row r="36" spans="1:8" x14ac:dyDescent="0.15">
      <c r="A36" t="s">
        <v>2254</v>
      </c>
      <c r="B36" t="s">
        <v>2253</v>
      </c>
      <c r="C36" t="str">
        <f t="shared" si="0"/>
        <v>San Pedro de Huaca</v>
      </c>
      <c r="D36" t="str">
        <f t="shared" si="1"/>
        <v>EC0406</v>
      </c>
      <c r="E36" t="s">
        <v>2305</v>
      </c>
      <c r="F36" t="s">
        <v>2306</v>
      </c>
      <c r="G36" t="s">
        <v>2023</v>
      </c>
      <c r="H36" t="s">
        <v>2021</v>
      </c>
    </row>
    <row r="37" spans="1:8" x14ac:dyDescent="0.15">
      <c r="A37" t="s">
        <v>2252</v>
      </c>
      <c r="B37" t="s">
        <v>335</v>
      </c>
      <c r="C37" t="str">
        <f t="shared" si="0"/>
        <v>Latacunga</v>
      </c>
      <c r="D37" t="str">
        <f t="shared" si="1"/>
        <v>EC0501</v>
      </c>
      <c r="E37" t="s">
        <v>2307</v>
      </c>
      <c r="F37" t="s">
        <v>2308</v>
      </c>
      <c r="G37" t="s">
        <v>2023</v>
      </c>
      <c r="H37" t="s">
        <v>2021</v>
      </c>
    </row>
    <row r="38" spans="1:8" x14ac:dyDescent="0.15">
      <c r="A38" t="s">
        <v>2251</v>
      </c>
      <c r="B38" t="s">
        <v>357</v>
      </c>
      <c r="C38" t="str">
        <f t="shared" si="0"/>
        <v>La Maná</v>
      </c>
      <c r="D38" t="str">
        <f t="shared" si="1"/>
        <v>EC0502</v>
      </c>
      <c r="E38" t="s">
        <v>2307</v>
      </c>
      <c r="F38" t="s">
        <v>2308</v>
      </c>
      <c r="G38" t="s">
        <v>2023</v>
      </c>
      <c r="H38" t="s">
        <v>2021</v>
      </c>
    </row>
    <row r="39" spans="1:8" x14ac:dyDescent="0.15">
      <c r="A39" t="s">
        <v>2250</v>
      </c>
      <c r="B39" t="s">
        <v>2249</v>
      </c>
      <c r="C39" t="str">
        <f t="shared" si="0"/>
        <v>Pangua</v>
      </c>
      <c r="D39" t="str">
        <f t="shared" si="1"/>
        <v>EC0503</v>
      </c>
      <c r="E39" t="s">
        <v>2307</v>
      </c>
      <c r="F39" t="s">
        <v>2308</v>
      </c>
      <c r="G39" t="s">
        <v>2023</v>
      </c>
      <c r="H39" t="s">
        <v>2021</v>
      </c>
    </row>
    <row r="40" spans="1:8" x14ac:dyDescent="0.15">
      <c r="A40" t="s">
        <v>2248</v>
      </c>
      <c r="B40" t="s">
        <v>371</v>
      </c>
      <c r="C40" t="str">
        <f t="shared" si="0"/>
        <v>Pujilí</v>
      </c>
      <c r="D40" t="str">
        <f t="shared" si="1"/>
        <v>EC0504</v>
      </c>
      <c r="E40" t="s">
        <v>2307</v>
      </c>
      <c r="F40" t="s">
        <v>2308</v>
      </c>
      <c r="G40" t="s">
        <v>2023</v>
      </c>
      <c r="H40" t="s">
        <v>2021</v>
      </c>
    </row>
    <row r="41" spans="1:8" x14ac:dyDescent="0.15">
      <c r="A41" t="s">
        <v>2247</v>
      </c>
      <c r="B41" t="s">
        <v>2246</v>
      </c>
      <c r="C41" t="str">
        <f t="shared" si="0"/>
        <v>Salcedo</v>
      </c>
      <c r="D41" t="str">
        <f t="shared" si="1"/>
        <v>EC0505</v>
      </c>
      <c r="E41" t="s">
        <v>2307</v>
      </c>
      <c r="F41" t="s">
        <v>2308</v>
      </c>
      <c r="G41" t="s">
        <v>2023</v>
      </c>
      <c r="H41" t="s">
        <v>2021</v>
      </c>
    </row>
    <row r="42" spans="1:8" x14ac:dyDescent="0.15">
      <c r="A42" t="s">
        <v>2245</v>
      </c>
      <c r="B42" t="s">
        <v>396</v>
      </c>
      <c r="C42" t="str">
        <f t="shared" si="0"/>
        <v>Saquisilí</v>
      </c>
      <c r="D42" t="str">
        <f t="shared" si="1"/>
        <v>EC0506</v>
      </c>
      <c r="E42" t="s">
        <v>2307</v>
      </c>
      <c r="F42" t="s">
        <v>2308</v>
      </c>
      <c r="G42" t="s">
        <v>2023</v>
      </c>
      <c r="H42" t="s">
        <v>2021</v>
      </c>
    </row>
    <row r="43" spans="1:8" x14ac:dyDescent="0.15">
      <c r="A43" t="s">
        <v>2244</v>
      </c>
      <c r="B43" t="s">
        <v>404</v>
      </c>
      <c r="C43" t="str">
        <f t="shared" si="0"/>
        <v>Sigchos</v>
      </c>
      <c r="D43" t="str">
        <f t="shared" si="1"/>
        <v>EC0507</v>
      </c>
      <c r="E43" t="s">
        <v>2307</v>
      </c>
      <c r="F43" t="s">
        <v>2308</v>
      </c>
      <c r="G43" t="s">
        <v>2023</v>
      </c>
      <c r="H43" t="s">
        <v>2021</v>
      </c>
    </row>
    <row r="44" spans="1:8" x14ac:dyDescent="0.15">
      <c r="A44" t="s">
        <v>2243</v>
      </c>
      <c r="B44" t="s">
        <v>414</v>
      </c>
      <c r="C44" t="str">
        <f t="shared" si="0"/>
        <v>Riobamba</v>
      </c>
      <c r="D44" t="str">
        <f t="shared" si="1"/>
        <v>EC0601</v>
      </c>
      <c r="E44" t="s">
        <v>2309</v>
      </c>
      <c r="F44" t="s">
        <v>2310</v>
      </c>
      <c r="G44" t="s">
        <v>2023</v>
      </c>
      <c r="H44" t="s">
        <v>2021</v>
      </c>
    </row>
    <row r="45" spans="1:8" x14ac:dyDescent="0.15">
      <c r="A45" t="s">
        <v>2242</v>
      </c>
      <c r="B45" t="s">
        <v>437</v>
      </c>
      <c r="C45" t="str">
        <f t="shared" si="0"/>
        <v>Alausí</v>
      </c>
      <c r="D45" t="str">
        <f t="shared" si="1"/>
        <v>EC0602</v>
      </c>
      <c r="E45" t="s">
        <v>2309</v>
      </c>
      <c r="F45" t="s">
        <v>2310</v>
      </c>
      <c r="G45" t="s">
        <v>2023</v>
      </c>
      <c r="H45" t="s">
        <v>2021</v>
      </c>
    </row>
    <row r="46" spans="1:8" x14ac:dyDescent="0.15">
      <c r="A46" t="s">
        <v>2241</v>
      </c>
      <c r="B46" t="s">
        <v>2240</v>
      </c>
      <c r="C46" t="str">
        <f t="shared" si="0"/>
        <v>Colta</v>
      </c>
      <c r="D46" t="str">
        <f t="shared" si="1"/>
        <v>EC0603</v>
      </c>
      <c r="E46" t="s">
        <v>2309</v>
      </c>
      <c r="F46" t="s">
        <v>2310</v>
      </c>
      <c r="G46" t="s">
        <v>2023</v>
      </c>
      <c r="H46" t="s">
        <v>2021</v>
      </c>
    </row>
    <row r="47" spans="1:8" x14ac:dyDescent="0.15">
      <c r="A47" t="s">
        <v>2239</v>
      </c>
      <c r="B47" t="s">
        <v>467</v>
      </c>
      <c r="C47" t="str">
        <f t="shared" si="0"/>
        <v>Chambo</v>
      </c>
      <c r="D47" t="str">
        <f t="shared" si="1"/>
        <v>EC0604</v>
      </c>
      <c r="E47" t="s">
        <v>2309</v>
      </c>
      <c r="F47" t="s">
        <v>2310</v>
      </c>
      <c r="G47" t="s">
        <v>2023</v>
      </c>
      <c r="H47" t="s">
        <v>2021</v>
      </c>
    </row>
    <row r="48" spans="1:8" x14ac:dyDescent="0.15">
      <c r="A48" t="s">
        <v>2238</v>
      </c>
      <c r="B48" t="s">
        <v>469</v>
      </c>
      <c r="C48" t="str">
        <f t="shared" si="0"/>
        <v>Chunchi</v>
      </c>
      <c r="D48" t="str">
        <f t="shared" si="1"/>
        <v>EC0605</v>
      </c>
      <c r="E48" t="s">
        <v>2309</v>
      </c>
      <c r="F48" t="s">
        <v>2310</v>
      </c>
      <c r="G48" t="s">
        <v>2023</v>
      </c>
      <c r="H48" t="s">
        <v>2021</v>
      </c>
    </row>
    <row r="49" spans="1:8" x14ac:dyDescent="0.15">
      <c r="A49" t="s">
        <v>2237</v>
      </c>
      <c r="B49" t="s">
        <v>479</v>
      </c>
      <c r="C49" t="str">
        <f t="shared" si="0"/>
        <v>Guamote</v>
      </c>
      <c r="D49" t="str">
        <f t="shared" si="1"/>
        <v>EC0606</v>
      </c>
      <c r="E49" t="s">
        <v>2309</v>
      </c>
      <c r="F49" t="s">
        <v>2310</v>
      </c>
      <c r="G49" t="s">
        <v>2023</v>
      </c>
      <c r="H49" t="s">
        <v>2021</v>
      </c>
    </row>
    <row r="50" spans="1:8" x14ac:dyDescent="0.15">
      <c r="A50" t="s">
        <v>2236</v>
      </c>
      <c r="B50" t="s">
        <v>485</v>
      </c>
      <c r="C50" t="str">
        <f t="shared" si="0"/>
        <v>Guano</v>
      </c>
      <c r="D50" t="str">
        <f t="shared" si="1"/>
        <v>EC0607</v>
      </c>
      <c r="E50" t="s">
        <v>2309</v>
      </c>
      <c r="F50" t="s">
        <v>2310</v>
      </c>
      <c r="G50" t="s">
        <v>2023</v>
      </c>
      <c r="H50" t="s">
        <v>2021</v>
      </c>
    </row>
    <row r="51" spans="1:8" x14ac:dyDescent="0.15">
      <c r="A51" t="s">
        <v>2235</v>
      </c>
      <c r="B51" t="s">
        <v>504</v>
      </c>
      <c r="C51" t="str">
        <f t="shared" si="0"/>
        <v>Pallatanga</v>
      </c>
      <c r="D51" t="str">
        <f t="shared" si="1"/>
        <v>EC0608</v>
      </c>
      <c r="E51" t="s">
        <v>2309</v>
      </c>
      <c r="F51" t="s">
        <v>2310</v>
      </c>
      <c r="G51" t="s">
        <v>2023</v>
      </c>
      <c r="H51" t="s">
        <v>2021</v>
      </c>
    </row>
    <row r="52" spans="1:8" x14ac:dyDescent="0.15">
      <c r="A52" t="s">
        <v>2234</v>
      </c>
      <c r="B52" t="s">
        <v>506</v>
      </c>
      <c r="C52" t="str">
        <f t="shared" si="0"/>
        <v>Penipe</v>
      </c>
      <c r="D52" t="str">
        <f t="shared" si="1"/>
        <v>EC0609</v>
      </c>
      <c r="E52" t="s">
        <v>2309</v>
      </c>
      <c r="F52" t="s">
        <v>2310</v>
      </c>
      <c r="G52" t="s">
        <v>2023</v>
      </c>
      <c r="H52" t="s">
        <v>2021</v>
      </c>
    </row>
    <row r="53" spans="1:8" x14ac:dyDescent="0.15">
      <c r="A53" t="s">
        <v>2233</v>
      </c>
      <c r="B53" t="s">
        <v>520</v>
      </c>
      <c r="C53" t="str">
        <f t="shared" si="0"/>
        <v>Cumandá</v>
      </c>
      <c r="D53" t="str">
        <f t="shared" si="1"/>
        <v>EC0610</v>
      </c>
      <c r="E53" t="s">
        <v>2309</v>
      </c>
      <c r="F53" t="s">
        <v>2310</v>
      </c>
      <c r="G53" t="s">
        <v>2023</v>
      </c>
      <c r="H53" t="s">
        <v>2021</v>
      </c>
    </row>
    <row r="54" spans="1:8" x14ac:dyDescent="0.15">
      <c r="A54" t="s">
        <v>2232</v>
      </c>
      <c r="B54" t="s">
        <v>522</v>
      </c>
      <c r="C54" t="str">
        <f t="shared" si="0"/>
        <v>Machala</v>
      </c>
      <c r="D54" t="str">
        <f t="shared" si="1"/>
        <v>EC0701</v>
      </c>
      <c r="E54" t="s">
        <v>2311</v>
      </c>
      <c r="F54" t="s">
        <v>2312</v>
      </c>
      <c r="G54" t="s">
        <v>2023</v>
      </c>
      <c r="H54" t="s">
        <v>2021</v>
      </c>
    </row>
    <row r="55" spans="1:8" x14ac:dyDescent="0.15">
      <c r="A55" t="s">
        <v>2231</v>
      </c>
      <c r="B55" t="s">
        <v>526</v>
      </c>
      <c r="C55" t="str">
        <f t="shared" si="0"/>
        <v>Arenillas</v>
      </c>
      <c r="D55" t="str">
        <f t="shared" si="1"/>
        <v>EC0702</v>
      </c>
      <c r="E55" t="s">
        <v>2311</v>
      </c>
      <c r="F55" t="s">
        <v>2312</v>
      </c>
      <c r="G55" t="s">
        <v>2023</v>
      </c>
      <c r="H55" t="s">
        <v>2021</v>
      </c>
    </row>
    <row r="56" spans="1:8" x14ac:dyDescent="0.15">
      <c r="A56" t="s">
        <v>2230</v>
      </c>
      <c r="B56" t="s">
        <v>536</v>
      </c>
      <c r="C56" t="str">
        <f t="shared" si="0"/>
        <v>Atahualpa</v>
      </c>
      <c r="D56" t="str">
        <f t="shared" si="1"/>
        <v>EC0703</v>
      </c>
      <c r="E56" t="s">
        <v>2311</v>
      </c>
      <c r="F56" t="s">
        <v>2312</v>
      </c>
      <c r="G56" t="s">
        <v>2023</v>
      </c>
      <c r="H56" t="s">
        <v>2021</v>
      </c>
    </row>
    <row r="57" spans="1:8" x14ac:dyDescent="0.15">
      <c r="A57" t="s">
        <v>2229</v>
      </c>
      <c r="B57" t="s">
        <v>548</v>
      </c>
      <c r="C57" t="str">
        <f t="shared" si="0"/>
        <v>Balsas</v>
      </c>
      <c r="D57" t="str">
        <f t="shared" si="1"/>
        <v>EC0704</v>
      </c>
      <c r="E57" t="s">
        <v>2311</v>
      </c>
      <c r="F57" t="s">
        <v>2312</v>
      </c>
      <c r="G57" t="s">
        <v>2023</v>
      </c>
      <c r="H57" t="s">
        <v>2021</v>
      </c>
    </row>
    <row r="58" spans="1:8" x14ac:dyDescent="0.15">
      <c r="A58" t="s">
        <v>2228</v>
      </c>
      <c r="B58" t="s">
        <v>552</v>
      </c>
      <c r="C58" t="str">
        <f t="shared" si="0"/>
        <v>Chilla</v>
      </c>
      <c r="D58" t="str">
        <f t="shared" si="1"/>
        <v>EC0705</v>
      </c>
      <c r="E58" t="s">
        <v>2311</v>
      </c>
      <c r="F58" t="s">
        <v>2312</v>
      </c>
      <c r="G58" t="s">
        <v>2023</v>
      </c>
      <c r="H58" t="s">
        <v>2021</v>
      </c>
    </row>
    <row r="59" spans="1:8" x14ac:dyDescent="0.15">
      <c r="A59" t="s">
        <v>2227</v>
      </c>
      <c r="B59" t="s">
        <v>554</v>
      </c>
      <c r="C59" t="str">
        <f t="shared" si="0"/>
        <v>El Guabo</v>
      </c>
      <c r="D59" t="str">
        <f t="shared" si="1"/>
        <v>EC0706</v>
      </c>
      <c r="E59" t="s">
        <v>2311</v>
      </c>
      <c r="F59" t="s">
        <v>2312</v>
      </c>
      <c r="G59" t="s">
        <v>2023</v>
      </c>
      <c r="H59" t="s">
        <v>2021</v>
      </c>
    </row>
    <row r="60" spans="1:8" x14ac:dyDescent="0.15">
      <c r="A60" t="s">
        <v>2226</v>
      </c>
      <c r="B60" t="s">
        <v>564</v>
      </c>
      <c r="C60" t="str">
        <f t="shared" si="0"/>
        <v>Huaquillas</v>
      </c>
      <c r="D60" t="str">
        <f t="shared" si="1"/>
        <v>EC0707</v>
      </c>
      <c r="E60" t="s">
        <v>2311</v>
      </c>
      <c r="F60" t="s">
        <v>2312</v>
      </c>
      <c r="G60" t="s">
        <v>2023</v>
      </c>
      <c r="H60" t="s">
        <v>2021</v>
      </c>
    </row>
    <row r="61" spans="1:8" x14ac:dyDescent="0.15">
      <c r="A61" t="s">
        <v>2225</v>
      </c>
      <c r="B61" t="s">
        <v>566</v>
      </c>
      <c r="C61" t="str">
        <f t="shared" si="0"/>
        <v>Marcabelí</v>
      </c>
      <c r="D61" t="str">
        <f t="shared" si="1"/>
        <v>EC0708</v>
      </c>
      <c r="E61" t="s">
        <v>2311</v>
      </c>
      <c r="F61" t="s">
        <v>2312</v>
      </c>
      <c r="G61" t="s">
        <v>2023</v>
      </c>
      <c r="H61" t="s">
        <v>2021</v>
      </c>
    </row>
    <row r="62" spans="1:8" x14ac:dyDescent="0.15">
      <c r="A62" t="s">
        <v>2224</v>
      </c>
      <c r="B62" t="s">
        <v>570</v>
      </c>
      <c r="C62" t="str">
        <f t="shared" si="0"/>
        <v>Pasaje</v>
      </c>
      <c r="D62" t="str">
        <f t="shared" si="1"/>
        <v>EC0709</v>
      </c>
      <c r="E62" t="s">
        <v>2311</v>
      </c>
      <c r="F62" t="s">
        <v>2312</v>
      </c>
      <c r="G62" t="s">
        <v>2023</v>
      </c>
      <c r="H62" t="s">
        <v>2021</v>
      </c>
    </row>
    <row r="63" spans="1:8" x14ac:dyDescent="0.15">
      <c r="A63" t="s">
        <v>2223</v>
      </c>
      <c r="B63" t="s">
        <v>584</v>
      </c>
      <c r="C63" t="str">
        <f t="shared" si="0"/>
        <v>Piñas</v>
      </c>
      <c r="D63" t="str">
        <f t="shared" si="1"/>
        <v>EC0710</v>
      </c>
      <c r="E63" t="s">
        <v>2311</v>
      </c>
      <c r="F63" t="s">
        <v>2312</v>
      </c>
      <c r="G63" t="s">
        <v>2023</v>
      </c>
      <c r="H63" t="s">
        <v>2021</v>
      </c>
    </row>
    <row r="64" spans="1:8" x14ac:dyDescent="0.15">
      <c r="A64" t="s">
        <v>2222</v>
      </c>
      <c r="B64" t="s">
        <v>598</v>
      </c>
      <c r="C64" t="str">
        <f t="shared" si="0"/>
        <v>Portovelo</v>
      </c>
      <c r="D64" t="str">
        <f t="shared" si="1"/>
        <v>EC0711</v>
      </c>
      <c r="E64" t="s">
        <v>2311</v>
      </c>
      <c r="F64" t="s">
        <v>2312</v>
      </c>
      <c r="G64" t="s">
        <v>2023</v>
      </c>
      <c r="H64" t="s">
        <v>2021</v>
      </c>
    </row>
    <row r="65" spans="1:8" x14ac:dyDescent="0.15">
      <c r="A65" t="s">
        <v>2221</v>
      </c>
      <c r="B65" t="s">
        <v>606</v>
      </c>
      <c r="C65" t="str">
        <f t="shared" si="0"/>
        <v>Santa Rosa</v>
      </c>
      <c r="D65" t="str">
        <f t="shared" si="1"/>
        <v>EC0712</v>
      </c>
      <c r="E65" t="s">
        <v>2311</v>
      </c>
      <c r="F65" t="s">
        <v>2312</v>
      </c>
      <c r="G65" t="s">
        <v>2023</v>
      </c>
      <c r="H65" t="s">
        <v>2021</v>
      </c>
    </row>
    <row r="66" spans="1:8" x14ac:dyDescent="0.15">
      <c r="A66" t="s">
        <v>2220</v>
      </c>
      <c r="B66" t="s">
        <v>620</v>
      </c>
      <c r="C66" t="str">
        <f t="shared" si="0"/>
        <v>Zaruma</v>
      </c>
      <c r="D66" t="str">
        <f t="shared" si="1"/>
        <v>EC0713</v>
      </c>
      <c r="E66" t="s">
        <v>2311</v>
      </c>
      <c r="F66" t="s">
        <v>2312</v>
      </c>
      <c r="G66" t="s">
        <v>2023</v>
      </c>
      <c r="H66" t="s">
        <v>2021</v>
      </c>
    </row>
    <row r="67" spans="1:8" x14ac:dyDescent="0.15">
      <c r="A67" t="s">
        <v>2219</v>
      </c>
      <c r="B67" t="s">
        <v>2218</v>
      </c>
      <c r="C67" t="str">
        <f t="shared" ref="C67:C130" si="2">SUBSTITUTE(SUBSTITUTE(SUBSTITUTE(SUBSTITUTE(SUBSTITUTE(SUBSTITUTE(PROPER($B67)," De "," de ")," La "," la ")," Del "," del ")," Los "," los ")," Y "," y "),"En","en")</f>
        <v>Las Lajas</v>
      </c>
      <c r="D67" t="str">
        <f t="shared" ref="D67:D130" si="3">"EC"&amp;A67</f>
        <v>EC0714</v>
      </c>
      <c r="E67" t="s">
        <v>2311</v>
      </c>
      <c r="F67" t="s">
        <v>2312</v>
      </c>
      <c r="G67" t="s">
        <v>2023</v>
      </c>
      <c r="H67" t="s">
        <v>2021</v>
      </c>
    </row>
    <row r="68" spans="1:8" x14ac:dyDescent="0.15">
      <c r="A68" t="s">
        <v>2217</v>
      </c>
      <c r="B68" t="s">
        <v>645</v>
      </c>
      <c r="C68" t="str">
        <f t="shared" si="2"/>
        <v>Esmeraldas</v>
      </c>
      <c r="D68" t="str">
        <f t="shared" si="3"/>
        <v>EC0801</v>
      </c>
      <c r="E68" t="s">
        <v>2313</v>
      </c>
      <c r="F68" t="s">
        <v>2314</v>
      </c>
      <c r="G68" t="s">
        <v>2023</v>
      </c>
      <c r="H68" t="s">
        <v>2021</v>
      </c>
    </row>
    <row r="69" spans="1:8" x14ac:dyDescent="0.15">
      <c r="A69" t="s">
        <v>2216</v>
      </c>
      <c r="B69" t="s">
        <v>664</v>
      </c>
      <c r="C69" t="str">
        <f t="shared" si="2"/>
        <v>Eloy Alfaro</v>
      </c>
      <c r="D69" t="str">
        <f t="shared" si="3"/>
        <v>EC0802</v>
      </c>
      <c r="E69" t="s">
        <v>2313</v>
      </c>
      <c r="F69" t="s">
        <v>2314</v>
      </c>
      <c r="G69" t="s">
        <v>2023</v>
      </c>
      <c r="H69" t="s">
        <v>2021</v>
      </c>
    </row>
    <row r="70" spans="1:8" x14ac:dyDescent="0.15">
      <c r="A70" t="s">
        <v>2215</v>
      </c>
      <c r="B70" t="s">
        <v>694</v>
      </c>
      <c r="C70" t="str">
        <f t="shared" si="2"/>
        <v>Muisne</v>
      </c>
      <c r="D70" t="str">
        <f t="shared" si="3"/>
        <v>EC0803</v>
      </c>
      <c r="E70" t="s">
        <v>2313</v>
      </c>
      <c r="F70" t="s">
        <v>2314</v>
      </c>
      <c r="G70" t="s">
        <v>2023</v>
      </c>
      <c r="H70" t="s">
        <v>2021</v>
      </c>
    </row>
    <row r="71" spans="1:8" x14ac:dyDescent="0.15">
      <c r="A71" t="s">
        <v>2214</v>
      </c>
      <c r="B71" t="s">
        <v>2213</v>
      </c>
      <c r="C71" t="str">
        <f t="shared" si="2"/>
        <v>Quinindé</v>
      </c>
      <c r="D71" t="str">
        <f t="shared" si="3"/>
        <v>EC0804</v>
      </c>
      <c r="E71" t="s">
        <v>2313</v>
      </c>
      <c r="F71" t="s">
        <v>2314</v>
      </c>
      <c r="G71" t="s">
        <v>2023</v>
      </c>
      <c r="H71" t="s">
        <v>2021</v>
      </c>
    </row>
    <row r="72" spans="1:8" x14ac:dyDescent="0.15">
      <c r="A72" t="s">
        <v>2212</v>
      </c>
      <c r="B72" t="s">
        <v>164</v>
      </c>
      <c r="C72" t="str">
        <f t="shared" si="2"/>
        <v>San Lorenzo</v>
      </c>
      <c r="D72" t="str">
        <f t="shared" si="3"/>
        <v>EC0805</v>
      </c>
      <c r="E72" t="s">
        <v>2313</v>
      </c>
      <c r="F72" t="s">
        <v>2314</v>
      </c>
      <c r="G72" t="s">
        <v>2023</v>
      </c>
      <c r="H72" t="s">
        <v>2021</v>
      </c>
    </row>
    <row r="73" spans="1:8" x14ac:dyDescent="0.15">
      <c r="A73" t="s">
        <v>2211</v>
      </c>
      <c r="B73" t="s">
        <v>745</v>
      </c>
      <c r="C73" t="str">
        <f t="shared" si="2"/>
        <v>Atacames</v>
      </c>
      <c r="D73" t="str">
        <f t="shared" si="3"/>
        <v>EC0806</v>
      </c>
      <c r="E73" t="s">
        <v>2313</v>
      </c>
      <c r="F73" t="s">
        <v>2314</v>
      </c>
      <c r="G73" t="s">
        <v>2023</v>
      </c>
      <c r="H73" t="s">
        <v>2021</v>
      </c>
    </row>
    <row r="74" spans="1:8" x14ac:dyDescent="0.15">
      <c r="A74" t="s">
        <v>2210</v>
      </c>
      <c r="B74" t="s">
        <v>754</v>
      </c>
      <c r="C74" t="str">
        <f t="shared" si="2"/>
        <v>Rioverde</v>
      </c>
      <c r="D74" t="str">
        <f t="shared" si="3"/>
        <v>EC0807</v>
      </c>
      <c r="E74" t="s">
        <v>2313</v>
      </c>
      <c r="F74" t="s">
        <v>2314</v>
      </c>
      <c r="G74" t="s">
        <v>2023</v>
      </c>
      <c r="H74" t="s">
        <v>2021</v>
      </c>
    </row>
    <row r="75" spans="1:8" x14ac:dyDescent="0.15">
      <c r="A75" t="s">
        <v>2209</v>
      </c>
      <c r="B75" t="s">
        <v>766</v>
      </c>
      <c r="C75" t="str">
        <f t="shared" si="2"/>
        <v>Guayaquil</v>
      </c>
      <c r="D75" t="str">
        <f t="shared" si="3"/>
        <v>EC0901</v>
      </c>
      <c r="E75" t="s">
        <v>2315</v>
      </c>
      <c r="F75" t="s">
        <v>2316</v>
      </c>
      <c r="G75" t="s">
        <v>2023</v>
      </c>
      <c r="H75" t="s">
        <v>2021</v>
      </c>
    </row>
    <row r="76" spans="1:8" x14ac:dyDescent="0.15">
      <c r="A76" t="s">
        <v>2208</v>
      </c>
      <c r="B76" t="s">
        <v>779</v>
      </c>
      <c r="C76" t="str">
        <f t="shared" si="2"/>
        <v>Alfredo Baquerizo Moreno (Juján)</v>
      </c>
      <c r="D76" t="str">
        <f t="shared" si="3"/>
        <v>EC0902</v>
      </c>
      <c r="E76" t="s">
        <v>2315</v>
      </c>
      <c r="F76" t="s">
        <v>2316</v>
      </c>
      <c r="G76" t="s">
        <v>2023</v>
      </c>
      <c r="H76" t="s">
        <v>2021</v>
      </c>
    </row>
    <row r="77" spans="1:8" x14ac:dyDescent="0.15">
      <c r="A77" t="s">
        <v>2207</v>
      </c>
      <c r="B77" t="s">
        <v>781</v>
      </c>
      <c r="C77" t="str">
        <f t="shared" si="2"/>
        <v>Balao</v>
      </c>
      <c r="D77" t="str">
        <f t="shared" si="3"/>
        <v>EC0903</v>
      </c>
      <c r="E77" t="s">
        <v>2315</v>
      </c>
      <c r="F77" t="s">
        <v>2316</v>
      </c>
      <c r="G77" t="s">
        <v>2023</v>
      </c>
      <c r="H77" t="s">
        <v>2021</v>
      </c>
    </row>
    <row r="78" spans="1:8" x14ac:dyDescent="0.15">
      <c r="A78" t="s">
        <v>2206</v>
      </c>
      <c r="B78" t="s">
        <v>783</v>
      </c>
      <c r="C78" t="str">
        <f t="shared" si="2"/>
        <v>Balzar</v>
      </c>
      <c r="D78" t="str">
        <f t="shared" si="3"/>
        <v>EC0904</v>
      </c>
      <c r="E78" t="s">
        <v>2315</v>
      </c>
      <c r="F78" t="s">
        <v>2316</v>
      </c>
      <c r="G78" t="s">
        <v>2023</v>
      </c>
      <c r="H78" t="s">
        <v>2021</v>
      </c>
    </row>
    <row r="79" spans="1:8" x14ac:dyDescent="0.15">
      <c r="A79" t="s">
        <v>2205</v>
      </c>
      <c r="B79" t="s">
        <v>785</v>
      </c>
      <c r="C79" t="str">
        <f t="shared" si="2"/>
        <v>Colimes</v>
      </c>
      <c r="D79" t="str">
        <f t="shared" si="3"/>
        <v>EC0905</v>
      </c>
      <c r="E79" t="s">
        <v>2315</v>
      </c>
      <c r="F79" t="s">
        <v>2316</v>
      </c>
      <c r="G79" t="s">
        <v>2023</v>
      </c>
      <c r="H79" t="s">
        <v>2021</v>
      </c>
    </row>
    <row r="80" spans="1:8" x14ac:dyDescent="0.15">
      <c r="A80" t="s">
        <v>2204</v>
      </c>
      <c r="B80" t="s">
        <v>697</v>
      </c>
      <c r="C80" t="str">
        <f t="shared" si="2"/>
        <v>Daule</v>
      </c>
      <c r="D80" t="str">
        <f t="shared" si="3"/>
        <v>EC0906</v>
      </c>
      <c r="E80" t="s">
        <v>2315</v>
      </c>
      <c r="F80" t="s">
        <v>2316</v>
      </c>
      <c r="G80" t="s">
        <v>2023</v>
      </c>
      <c r="H80" t="s">
        <v>2021</v>
      </c>
    </row>
    <row r="81" spans="1:8" x14ac:dyDescent="0.15">
      <c r="A81" t="s">
        <v>2203</v>
      </c>
      <c r="B81" t="s">
        <v>2202</v>
      </c>
      <c r="C81" t="str">
        <f t="shared" si="2"/>
        <v>Durán</v>
      </c>
      <c r="D81" t="str">
        <f t="shared" si="3"/>
        <v>EC0907</v>
      </c>
      <c r="E81" t="s">
        <v>2315</v>
      </c>
      <c r="F81" t="s">
        <v>2316</v>
      </c>
      <c r="G81" t="s">
        <v>2023</v>
      </c>
      <c r="H81" t="s">
        <v>2021</v>
      </c>
    </row>
    <row r="82" spans="1:8" x14ac:dyDescent="0.15">
      <c r="A82" t="s">
        <v>2201</v>
      </c>
      <c r="B82" t="s">
        <v>2200</v>
      </c>
      <c r="C82" t="str">
        <f t="shared" si="2"/>
        <v>El Empalme</v>
      </c>
      <c r="D82" t="str">
        <f t="shared" si="3"/>
        <v>EC0908</v>
      </c>
      <c r="E82" t="s">
        <v>2315</v>
      </c>
      <c r="F82" t="s">
        <v>2316</v>
      </c>
      <c r="G82" t="s">
        <v>2023</v>
      </c>
      <c r="H82" t="s">
        <v>2021</v>
      </c>
    </row>
    <row r="83" spans="1:8" x14ac:dyDescent="0.15">
      <c r="A83" t="s">
        <v>2199</v>
      </c>
      <c r="B83" t="s">
        <v>804</v>
      </c>
      <c r="C83" t="str">
        <f t="shared" si="2"/>
        <v>El Triunfo</v>
      </c>
      <c r="D83" t="str">
        <f t="shared" si="3"/>
        <v>EC0909</v>
      </c>
      <c r="E83" t="s">
        <v>2315</v>
      </c>
      <c r="F83" t="s">
        <v>2316</v>
      </c>
      <c r="G83" t="s">
        <v>2023</v>
      </c>
      <c r="H83" t="s">
        <v>2021</v>
      </c>
    </row>
    <row r="84" spans="1:8" x14ac:dyDescent="0.15">
      <c r="A84" t="s">
        <v>2198</v>
      </c>
      <c r="B84" t="s">
        <v>542</v>
      </c>
      <c r="C84" t="str">
        <f t="shared" si="2"/>
        <v>Milagro</v>
      </c>
      <c r="D84" t="str">
        <f t="shared" si="3"/>
        <v>EC0910</v>
      </c>
      <c r="E84" t="s">
        <v>2315</v>
      </c>
      <c r="F84" t="s">
        <v>2316</v>
      </c>
      <c r="G84" t="s">
        <v>2023</v>
      </c>
      <c r="H84" t="s">
        <v>2021</v>
      </c>
    </row>
    <row r="85" spans="1:8" x14ac:dyDescent="0.15">
      <c r="A85" t="s">
        <v>2197</v>
      </c>
      <c r="B85" t="s">
        <v>812</v>
      </c>
      <c r="C85" t="str">
        <f t="shared" si="2"/>
        <v>Naranjal</v>
      </c>
      <c r="D85" t="str">
        <f t="shared" si="3"/>
        <v>EC0911</v>
      </c>
      <c r="E85" t="s">
        <v>2315</v>
      </c>
      <c r="F85" t="s">
        <v>2316</v>
      </c>
      <c r="G85" t="s">
        <v>2023</v>
      </c>
      <c r="H85" t="s">
        <v>2021</v>
      </c>
    </row>
    <row r="86" spans="1:8" x14ac:dyDescent="0.15">
      <c r="A86" t="s">
        <v>2196</v>
      </c>
      <c r="B86" t="s">
        <v>822</v>
      </c>
      <c r="C86" t="str">
        <f t="shared" si="2"/>
        <v>Naranjito</v>
      </c>
      <c r="D86" t="str">
        <f t="shared" si="3"/>
        <v>EC0912</v>
      </c>
      <c r="E86" t="s">
        <v>2315</v>
      </c>
      <c r="F86" t="s">
        <v>2316</v>
      </c>
      <c r="G86" t="s">
        <v>2023</v>
      </c>
      <c r="H86" t="s">
        <v>2021</v>
      </c>
    </row>
    <row r="87" spans="1:8" x14ac:dyDescent="0.15">
      <c r="A87" t="s">
        <v>2195</v>
      </c>
      <c r="B87" t="s">
        <v>824</v>
      </c>
      <c r="C87" t="str">
        <f t="shared" si="2"/>
        <v>Palestina</v>
      </c>
      <c r="D87" t="str">
        <f t="shared" si="3"/>
        <v>EC0913</v>
      </c>
      <c r="E87" t="s">
        <v>2315</v>
      </c>
      <c r="F87" t="s">
        <v>2316</v>
      </c>
      <c r="G87" t="s">
        <v>2023</v>
      </c>
      <c r="H87" t="s">
        <v>2021</v>
      </c>
    </row>
    <row r="88" spans="1:8" x14ac:dyDescent="0.15">
      <c r="A88" t="s">
        <v>2194</v>
      </c>
      <c r="B88" t="s">
        <v>826</v>
      </c>
      <c r="C88" t="str">
        <f t="shared" si="2"/>
        <v>Pedro Carbo</v>
      </c>
      <c r="D88" t="str">
        <f t="shared" si="3"/>
        <v>EC0914</v>
      </c>
      <c r="E88" t="s">
        <v>2315</v>
      </c>
      <c r="F88" t="s">
        <v>2316</v>
      </c>
      <c r="G88" t="s">
        <v>2023</v>
      </c>
      <c r="H88" t="s">
        <v>2021</v>
      </c>
    </row>
    <row r="89" spans="1:8" x14ac:dyDescent="0.15">
      <c r="A89" t="s">
        <v>2193</v>
      </c>
      <c r="B89" t="s">
        <v>832</v>
      </c>
      <c r="C89" t="str">
        <f t="shared" si="2"/>
        <v>Samborondón</v>
      </c>
      <c r="D89" t="str">
        <f t="shared" si="3"/>
        <v>EC0916</v>
      </c>
      <c r="E89" t="s">
        <v>2315</v>
      </c>
      <c r="F89" t="s">
        <v>2316</v>
      </c>
      <c r="G89" t="s">
        <v>2023</v>
      </c>
      <c r="H89" t="s">
        <v>2021</v>
      </c>
    </row>
    <row r="90" spans="1:8" x14ac:dyDescent="0.15">
      <c r="A90" t="s">
        <v>2192</v>
      </c>
      <c r="B90" t="s">
        <v>836</v>
      </c>
      <c r="C90" t="str">
        <f t="shared" si="2"/>
        <v>Santa Lucía</v>
      </c>
      <c r="D90" t="str">
        <f t="shared" si="3"/>
        <v>EC0918</v>
      </c>
      <c r="E90" t="s">
        <v>2315</v>
      </c>
      <c r="F90" t="s">
        <v>2316</v>
      </c>
      <c r="G90" t="s">
        <v>2023</v>
      </c>
      <c r="H90" t="s">
        <v>2021</v>
      </c>
    </row>
    <row r="91" spans="1:8" x14ac:dyDescent="0.15">
      <c r="A91" t="s">
        <v>2191</v>
      </c>
      <c r="B91" t="s">
        <v>2190</v>
      </c>
      <c r="C91" t="str">
        <f t="shared" si="2"/>
        <v>Salitre</v>
      </c>
      <c r="D91" t="str">
        <f t="shared" si="3"/>
        <v>EC0919</v>
      </c>
      <c r="E91" t="s">
        <v>2315</v>
      </c>
      <c r="F91" t="s">
        <v>2316</v>
      </c>
      <c r="G91" t="s">
        <v>2023</v>
      </c>
      <c r="H91" t="s">
        <v>2021</v>
      </c>
    </row>
    <row r="92" spans="1:8" x14ac:dyDescent="0.15">
      <c r="A92" t="s">
        <v>2189</v>
      </c>
      <c r="B92" t="s">
        <v>845</v>
      </c>
      <c r="C92" t="str">
        <f t="shared" si="2"/>
        <v>San Jacinto de Yaguachi</v>
      </c>
      <c r="D92" t="str">
        <f t="shared" si="3"/>
        <v>EC0920</v>
      </c>
      <c r="E92" t="s">
        <v>2315</v>
      </c>
      <c r="F92" t="s">
        <v>2316</v>
      </c>
      <c r="G92" t="s">
        <v>2023</v>
      </c>
      <c r="H92" t="s">
        <v>2021</v>
      </c>
    </row>
    <row r="93" spans="1:8" x14ac:dyDescent="0.15">
      <c r="A93" t="s">
        <v>2188</v>
      </c>
      <c r="B93" t="s">
        <v>2187</v>
      </c>
      <c r="C93" t="str">
        <f t="shared" si="2"/>
        <v>Playas</v>
      </c>
      <c r="D93" t="str">
        <f t="shared" si="3"/>
        <v>EC0921</v>
      </c>
      <c r="E93" t="s">
        <v>2315</v>
      </c>
      <c r="F93" t="s">
        <v>2316</v>
      </c>
      <c r="G93" t="s">
        <v>2023</v>
      </c>
      <c r="H93" t="s">
        <v>2021</v>
      </c>
    </row>
    <row r="94" spans="1:8" x14ac:dyDescent="0.15">
      <c r="A94" t="s">
        <v>2186</v>
      </c>
      <c r="B94" t="s">
        <v>69</v>
      </c>
      <c r="C94" t="str">
        <f t="shared" si="2"/>
        <v>Simón Bolívar</v>
      </c>
      <c r="D94" t="str">
        <f t="shared" si="3"/>
        <v>EC0922</v>
      </c>
      <c r="E94" t="s">
        <v>2315</v>
      </c>
      <c r="F94" t="s">
        <v>2316</v>
      </c>
      <c r="G94" t="s">
        <v>2023</v>
      </c>
      <c r="H94" t="s">
        <v>2021</v>
      </c>
    </row>
    <row r="95" spans="1:8" x14ac:dyDescent="0.15">
      <c r="A95" t="s">
        <v>2185</v>
      </c>
      <c r="B95" t="s">
        <v>858</v>
      </c>
      <c r="C95" t="str">
        <f t="shared" si="2"/>
        <v>Coronel Marcelino Maridueña</v>
      </c>
      <c r="D95" t="str">
        <f t="shared" si="3"/>
        <v>EC0923</v>
      </c>
      <c r="E95" t="s">
        <v>2315</v>
      </c>
      <c r="F95" t="s">
        <v>2316</v>
      </c>
      <c r="G95" t="s">
        <v>2023</v>
      </c>
      <c r="H95" t="s">
        <v>2021</v>
      </c>
    </row>
    <row r="96" spans="1:8" x14ac:dyDescent="0.15">
      <c r="A96" t="s">
        <v>2184</v>
      </c>
      <c r="B96" t="s">
        <v>860</v>
      </c>
      <c r="C96" t="str">
        <f t="shared" si="2"/>
        <v>Lomas de Sargentillo</v>
      </c>
      <c r="D96" t="str">
        <f t="shared" si="3"/>
        <v>EC0924</v>
      </c>
      <c r="E96" t="s">
        <v>2315</v>
      </c>
      <c r="F96" t="s">
        <v>2316</v>
      </c>
      <c r="G96" t="s">
        <v>2023</v>
      </c>
      <c r="H96" t="s">
        <v>2021</v>
      </c>
    </row>
    <row r="97" spans="1:8" x14ac:dyDescent="0.15">
      <c r="A97" t="s">
        <v>2183</v>
      </c>
      <c r="B97" t="s">
        <v>2182</v>
      </c>
      <c r="C97" t="str">
        <f t="shared" si="2"/>
        <v>Nobol</v>
      </c>
      <c r="D97" t="str">
        <f t="shared" si="3"/>
        <v>EC0925</v>
      </c>
      <c r="E97" t="s">
        <v>2315</v>
      </c>
      <c r="F97" t="s">
        <v>2316</v>
      </c>
      <c r="G97" t="s">
        <v>2023</v>
      </c>
      <c r="H97" t="s">
        <v>2021</v>
      </c>
    </row>
    <row r="98" spans="1:8" x14ac:dyDescent="0.15">
      <c r="A98" t="s">
        <v>2181</v>
      </c>
      <c r="B98" t="s">
        <v>2180</v>
      </c>
      <c r="C98" t="str">
        <f t="shared" si="2"/>
        <v>General  Antonio Elizalde</v>
      </c>
      <c r="D98" t="str">
        <f t="shared" si="3"/>
        <v>EC0927</v>
      </c>
      <c r="E98" t="s">
        <v>2315</v>
      </c>
      <c r="F98" t="s">
        <v>2316</v>
      </c>
      <c r="G98" t="s">
        <v>2023</v>
      </c>
      <c r="H98" t="s">
        <v>2021</v>
      </c>
    </row>
    <row r="99" spans="1:8" x14ac:dyDescent="0.15">
      <c r="A99" t="s">
        <v>2179</v>
      </c>
      <c r="B99" t="s">
        <v>866</v>
      </c>
      <c r="C99" t="str">
        <f t="shared" si="2"/>
        <v>Isidro Ayora</v>
      </c>
      <c r="D99" t="str">
        <f t="shared" si="3"/>
        <v>EC0928</v>
      </c>
      <c r="E99" t="s">
        <v>2315</v>
      </c>
      <c r="F99" t="s">
        <v>2316</v>
      </c>
      <c r="G99" t="s">
        <v>2023</v>
      </c>
      <c r="H99" t="s">
        <v>2021</v>
      </c>
    </row>
    <row r="100" spans="1:8" x14ac:dyDescent="0.15">
      <c r="A100" t="s">
        <v>2178</v>
      </c>
      <c r="B100" t="s">
        <v>2177</v>
      </c>
      <c r="C100" t="str">
        <f t="shared" si="2"/>
        <v>Ibarra</v>
      </c>
      <c r="D100" t="str">
        <f t="shared" si="3"/>
        <v>EC1001</v>
      </c>
      <c r="E100" t="s">
        <v>2317</v>
      </c>
      <c r="F100" t="s">
        <v>2318</v>
      </c>
      <c r="G100" t="s">
        <v>2023</v>
      </c>
      <c r="H100" t="s">
        <v>2021</v>
      </c>
    </row>
    <row r="101" spans="1:8" x14ac:dyDescent="0.15">
      <c r="A101" t="s">
        <v>2176</v>
      </c>
      <c r="B101" t="s">
        <v>2175</v>
      </c>
      <c r="C101" t="str">
        <f t="shared" si="2"/>
        <v>Antonio Ante</v>
      </c>
      <c r="D101" t="str">
        <f t="shared" si="3"/>
        <v>EC1002</v>
      </c>
      <c r="E101" t="s">
        <v>2317</v>
      </c>
      <c r="F101" t="s">
        <v>2318</v>
      </c>
      <c r="G101" t="s">
        <v>2023</v>
      </c>
      <c r="H101" t="s">
        <v>2021</v>
      </c>
    </row>
    <row r="102" spans="1:8" x14ac:dyDescent="0.15">
      <c r="A102" t="s">
        <v>2174</v>
      </c>
      <c r="B102" t="s">
        <v>891</v>
      </c>
      <c r="C102" t="str">
        <f t="shared" si="2"/>
        <v>Cotacachi</v>
      </c>
      <c r="D102" t="str">
        <f t="shared" si="3"/>
        <v>EC1003</v>
      </c>
      <c r="E102" t="s">
        <v>2317</v>
      </c>
      <c r="F102" t="s">
        <v>2318</v>
      </c>
      <c r="G102" t="s">
        <v>2023</v>
      </c>
      <c r="H102" t="s">
        <v>2021</v>
      </c>
    </row>
    <row r="103" spans="1:8" x14ac:dyDescent="0.15">
      <c r="A103" t="s">
        <v>2173</v>
      </c>
      <c r="B103" t="s">
        <v>908</v>
      </c>
      <c r="C103" t="str">
        <f t="shared" si="2"/>
        <v>Otavalo</v>
      </c>
      <c r="D103" t="str">
        <f t="shared" si="3"/>
        <v>EC1004</v>
      </c>
      <c r="E103" t="s">
        <v>2317</v>
      </c>
      <c r="F103" t="s">
        <v>2318</v>
      </c>
      <c r="G103" t="s">
        <v>2023</v>
      </c>
      <c r="H103" t="s">
        <v>2021</v>
      </c>
    </row>
    <row r="104" spans="1:8" x14ac:dyDescent="0.15">
      <c r="A104" t="s">
        <v>2172</v>
      </c>
      <c r="B104" t="s">
        <v>925</v>
      </c>
      <c r="C104" t="str">
        <f t="shared" si="2"/>
        <v>Pimampiro</v>
      </c>
      <c r="D104" t="str">
        <f t="shared" si="3"/>
        <v>EC1005</v>
      </c>
      <c r="E104" t="s">
        <v>2317</v>
      </c>
      <c r="F104" t="s">
        <v>2318</v>
      </c>
      <c r="G104" t="s">
        <v>2023</v>
      </c>
      <c r="H104" t="s">
        <v>2021</v>
      </c>
    </row>
    <row r="105" spans="1:8" x14ac:dyDescent="0.15">
      <c r="A105" t="s">
        <v>2171</v>
      </c>
      <c r="B105" t="s">
        <v>2170</v>
      </c>
      <c r="C105" t="str">
        <f t="shared" si="2"/>
        <v>San Miguel de Urcuquí</v>
      </c>
      <c r="D105" t="str">
        <f t="shared" si="3"/>
        <v>EC1006</v>
      </c>
      <c r="E105" t="s">
        <v>2317</v>
      </c>
      <c r="F105" t="s">
        <v>2318</v>
      </c>
      <c r="G105" t="s">
        <v>2023</v>
      </c>
      <c r="H105" t="s">
        <v>2021</v>
      </c>
    </row>
    <row r="106" spans="1:8" x14ac:dyDescent="0.15">
      <c r="A106" t="s">
        <v>2169</v>
      </c>
      <c r="B106" t="s">
        <v>945</v>
      </c>
      <c r="C106" t="str">
        <f t="shared" si="2"/>
        <v>Loja</v>
      </c>
      <c r="D106" t="str">
        <f t="shared" si="3"/>
        <v>EC1101</v>
      </c>
      <c r="E106" t="s">
        <v>2319</v>
      </c>
      <c r="F106" t="s">
        <v>2320</v>
      </c>
      <c r="G106" t="s">
        <v>2023</v>
      </c>
      <c r="H106" t="s">
        <v>2021</v>
      </c>
    </row>
    <row r="107" spans="1:8" x14ac:dyDescent="0.15">
      <c r="A107" t="s">
        <v>2168</v>
      </c>
      <c r="B107" t="s">
        <v>2167</v>
      </c>
      <c r="C107" t="str">
        <f t="shared" si="2"/>
        <v>Calvas</v>
      </c>
      <c r="D107" t="str">
        <f t="shared" si="3"/>
        <v>EC1102</v>
      </c>
      <c r="E107" t="s">
        <v>2319</v>
      </c>
      <c r="F107" t="s">
        <v>2320</v>
      </c>
      <c r="G107" t="s">
        <v>2023</v>
      </c>
      <c r="H107" t="s">
        <v>2021</v>
      </c>
    </row>
    <row r="108" spans="1:8" x14ac:dyDescent="0.15">
      <c r="A108" t="s">
        <v>2166</v>
      </c>
      <c r="B108" t="s">
        <v>982</v>
      </c>
      <c r="C108" t="str">
        <f t="shared" si="2"/>
        <v>Catamayo</v>
      </c>
      <c r="D108" t="str">
        <f t="shared" si="3"/>
        <v>EC1103</v>
      </c>
      <c r="E108" t="s">
        <v>2319</v>
      </c>
      <c r="F108" t="s">
        <v>2320</v>
      </c>
      <c r="G108" t="s">
        <v>2023</v>
      </c>
      <c r="H108" t="s">
        <v>2021</v>
      </c>
    </row>
    <row r="109" spans="1:8" x14ac:dyDescent="0.15">
      <c r="A109" t="s">
        <v>2165</v>
      </c>
      <c r="B109" t="s">
        <v>991</v>
      </c>
      <c r="C109" t="str">
        <f t="shared" si="2"/>
        <v>Celica</v>
      </c>
      <c r="D109" t="str">
        <f t="shared" si="3"/>
        <v>EC1104</v>
      </c>
      <c r="E109" t="s">
        <v>2319</v>
      </c>
      <c r="F109" t="s">
        <v>2320</v>
      </c>
      <c r="G109" t="s">
        <v>2023</v>
      </c>
      <c r="H109" t="s">
        <v>2021</v>
      </c>
    </row>
    <row r="110" spans="1:8" x14ac:dyDescent="0.15">
      <c r="A110" t="s">
        <v>2164</v>
      </c>
      <c r="B110" t="s">
        <v>1000</v>
      </c>
      <c r="C110" t="str">
        <f t="shared" si="2"/>
        <v>Chaguarpamba</v>
      </c>
      <c r="D110" t="str">
        <f t="shared" si="3"/>
        <v>EC1105</v>
      </c>
      <c r="E110" t="s">
        <v>2319</v>
      </c>
      <c r="F110" t="s">
        <v>2320</v>
      </c>
      <c r="G110" t="s">
        <v>2023</v>
      </c>
      <c r="H110" t="s">
        <v>2021</v>
      </c>
    </row>
    <row r="111" spans="1:8" x14ac:dyDescent="0.15">
      <c r="A111" t="s">
        <v>2163</v>
      </c>
      <c r="B111" t="s">
        <v>2162</v>
      </c>
      <c r="C111" t="str">
        <f t="shared" si="2"/>
        <v>Espíndola</v>
      </c>
      <c r="D111" t="str">
        <f t="shared" si="3"/>
        <v>EC1106</v>
      </c>
      <c r="E111" t="s">
        <v>2319</v>
      </c>
      <c r="F111" t="s">
        <v>2320</v>
      </c>
      <c r="G111" t="s">
        <v>2023</v>
      </c>
      <c r="H111" t="s">
        <v>2021</v>
      </c>
    </row>
    <row r="112" spans="1:8" x14ac:dyDescent="0.15">
      <c r="A112" t="s">
        <v>2161</v>
      </c>
      <c r="B112" t="s">
        <v>1019</v>
      </c>
      <c r="C112" t="str">
        <f t="shared" si="2"/>
        <v>Gonzanamá</v>
      </c>
      <c r="D112" t="str">
        <f t="shared" si="3"/>
        <v>EC1107</v>
      </c>
      <c r="E112" t="s">
        <v>2319</v>
      </c>
      <c r="F112" t="s">
        <v>2320</v>
      </c>
      <c r="G112" t="s">
        <v>2023</v>
      </c>
      <c r="H112" t="s">
        <v>2021</v>
      </c>
    </row>
    <row r="113" spans="1:8" x14ac:dyDescent="0.15">
      <c r="A113" t="s">
        <v>2160</v>
      </c>
      <c r="B113" t="s">
        <v>1029</v>
      </c>
      <c r="C113" t="str">
        <f t="shared" si="2"/>
        <v>Macará</v>
      </c>
      <c r="D113" t="str">
        <f t="shared" si="3"/>
        <v>EC1108</v>
      </c>
      <c r="E113" t="s">
        <v>2319</v>
      </c>
      <c r="F113" t="s">
        <v>2320</v>
      </c>
      <c r="G113" t="s">
        <v>2023</v>
      </c>
      <c r="H113" t="s">
        <v>2021</v>
      </c>
    </row>
    <row r="114" spans="1:8" x14ac:dyDescent="0.15">
      <c r="A114" t="s">
        <v>2159</v>
      </c>
      <c r="B114" t="s">
        <v>2158</v>
      </c>
      <c r="C114" t="str">
        <f t="shared" si="2"/>
        <v>Paltas</v>
      </c>
      <c r="D114" t="str">
        <f t="shared" si="3"/>
        <v>EC1109</v>
      </c>
      <c r="E114" t="s">
        <v>2319</v>
      </c>
      <c r="F114" t="s">
        <v>2320</v>
      </c>
      <c r="G114" t="s">
        <v>2023</v>
      </c>
      <c r="H114" t="s">
        <v>2021</v>
      </c>
    </row>
    <row r="115" spans="1:8" x14ac:dyDescent="0.15">
      <c r="A115" t="s">
        <v>2157</v>
      </c>
      <c r="B115" t="s">
        <v>2156</v>
      </c>
      <c r="C115" t="str">
        <f t="shared" si="2"/>
        <v>Puyango</v>
      </c>
      <c r="D115" t="str">
        <f t="shared" si="3"/>
        <v>EC1110</v>
      </c>
      <c r="E115" t="s">
        <v>2319</v>
      </c>
      <c r="F115" t="s">
        <v>2320</v>
      </c>
      <c r="G115" t="s">
        <v>2023</v>
      </c>
      <c r="H115" t="s">
        <v>2021</v>
      </c>
    </row>
    <row r="116" spans="1:8" x14ac:dyDescent="0.15">
      <c r="A116" t="s">
        <v>2155</v>
      </c>
      <c r="B116" t="s">
        <v>1063</v>
      </c>
      <c r="C116" t="str">
        <f t="shared" si="2"/>
        <v>Saraguro</v>
      </c>
      <c r="D116" t="str">
        <f t="shared" si="3"/>
        <v>EC1111</v>
      </c>
      <c r="E116" t="s">
        <v>2319</v>
      </c>
      <c r="F116" t="s">
        <v>2320</v>
      </c>
      <c r="G116" t="s">
        <v>2023</v>
      </c>
      <c r="H116" t="s">
        <v>2021</v>
      </c>
    </row>
    <row r="117" spans="1:8" x14ac:dyDescent="0.15">
      <c r="A117" t="s">
        <v>2154</v>
      </c>
      <c r="B117" t="s">
        <v>1084</v>
      </c>
      <c r="C117" t="str">
        <f t="shared" si="2"/>
        <v>Sozoranga</v>
      </c>
      <c r="D117" t="str">
        <f t="shared" si="3"/>
        <v>EC1112</v>
      </c>
      <c r="E117" t="s">
        <v>2319</v>
      </c>
      <c r="F117" t="s">
        <v>2320</v>
      </c>
      <c r="G117" t="s">
        <v>2023</v>
      </c>
      <c r="H117" t="s">
        <v>2021</v>
      </c>
    </row>
    <row r="118" spans="1:8" x14ac:dyDescent="0.15">
      <c r="A118" t="s">
        <v>2153</v>
      </c>
      <c r="B118" t="s">
        <v>1090</v>
      </c>
      <c r="C118" t="str">
        <f t="shared" si="2"/>
        <v>Zapotillo</v>
      </c>
      <c r="D118" t="str">
        <f t="shared" si="3"/>
        <v>EC1113</v>
      </c>
      <c r="E118" t="s">
        <v>2319</v>
      </c>
      <c r="F118" t="s">
        <v>2320</v>
      </c>
      <c r="G118" t="s">
        <v>2023</v>
      </c>
      <c r="H118" t="s">
        <v>2021</v>
      </c>
    </row>
    <row r="119" spans="1:8" x14ac:dyDescent="0.15">
      <c r="A119" t="s">
        <v>2152</v>
      </c>
      <c r="B119" t="s">
        <v>1104</v>
      </c>
      <c r="C119" t="str">
        <f t="shared" si="2"/>
        <v>Pindal</v>
      </c>
      <c r="D119" t="str">
        <f t="shared" si="3"/>
        <v>EC1114</v>
      </c>
      <c r="E119" t="s">
        <v>2319</v>
      </c>
      <c r="F119" t="s">
        <v>2320</v>
      </c>
      <c r="G119" t="s">
        <v>2023</v>
      </c>
      <c r="H119" t="s">
        <v>2021</v>
      </c>
    </row>
    <row r="120" spans="1:8" x14ac:dyDescent="0.15">
      <c r="A120" t="s">
        <v>2151</v>
      </c>
      <c r="B120" t="s">
        <v>1112</v>
      </c>
      <c r="C120" t="str">
        <f t="shared" si="2"/>
        <v>Quilanga</v>
      </c>
      <c r="D120" t="str">
        <f t="shared" si="3"/>
        <v>EC1115</v>
      </c>
      <c r="E120" t="s">
        <v>2319</v>
      </c>
      <c r="F120" t="s">
        <v>2320</v>
      </c>
      <c r="G120" t="s">
        <v>2023</v>
      </c>
      <c r="H120" t="s">
        <v>2021</v>
      </c>
    </row>
    <row r="121" spans="1:8" x14ac:dyDescent="0.15">
      <c r="A121" t="s">
        <v>2150</v>
      </c>
      <c r="B121" t="s">
        <v>1118</v>
      </c>
      <c r="C121" t="str">
        <f t="shared" si="2"/>
        <v>Olmedo</v>
      </c>
      <c r="D121" t="str">
        <f t="shared" si="3"/>
        <v>EC1116</v>
      </c>
      <c r="E121" t="s">
        <v>2319</v>
      </c>
      <c r="F121" t="s">
        <v>2320</v>
      </c>
      <c r="G121" t="s">
        <v>2023</v>
      </c>
      <c r="H121" t="s">
        <v>2021</v>
      </c>
    </row>
    <row r="122" spans="1:8" x14ac:dyDescent="0.15">
      <c r="A122" t="s">
        <v>2149</v>
      </c>
      <c r="B122" t="s">
        <v>1122</v>
      </c>
      <c r="C122" t="str">
        <f t="shared" si="2"/>
        <v>Babahoyo</v>
      </c>
      <c r="D122" t="str">
        <f t="shared" si="3"/>
        <v>EC1201</v>
      </c>
      <c r="E122" t="s">
        <v>2321</v>
      </c>
      <c r="F122" t="s">
        <v>2322</v>
      </c>
      <c r="G122" t="s">
        <v>2023</v>
      </c>
      <c r="H122" t="s">
        <v>2021</v>
      </c>
    </row>
    <row r="123" spans="1:8" x14ac:dyDescent="0.15">
      <c r="A123" t="s">
        <v>2148</v>
      </c>
      <c r="B123" t="s">
        <v>1131</v>
      </c>
      <c r="C123" t="str">
        <f t="shared" si="2"/>
        <v>Baba</v>
      </c>
      <c r="D123" t="str">
        <f t="shared" si="3"/>
        <v>EC1202</v>
      </c>
      <c r="E123" t="s">
        <v>2321</v>
      </c>
      <c r="F123" t="s">
        <v>2322</v>
      </c>
      <c r="G123" t="s">
        <v>2023</v>
      </c>
      <c r="H123" t="s">
        <v>2021</v>
      </c>
    </row>
    <row r="124" spans="1:8" x14ac:dyDescent="0.15">
      <c r="A124" t="s">
        <v>2147</v>
      </c>
      <c r="B124" t="s">
        <v>762</v>
      </c>
      <c r="C124" t="str">
        <f t="shared" si="2"/>
        <v>Montalvo</v>
      </c>
      <c r="D124" t="str">
        <f t="shared" si="3"/>
        <v>EC1203</v>
      </c>
      <c r="E124" t="s">
        <v>2321</v>
      </c>
      <c r="F124" t="s">
        <v>2322</v>
      </c>
      <c r="G124" t="s">
        <v>2023</v>
      </c>
      <c r="H124" t="s">
        <v>2021</v>
      </c>
    </row>
    <row r="125" spans="1:8" x14ac:dyDescent="0.15">
      <c r="A125" t="s">
        <v>2146</v>
      </c>
      <c r="B125" t="s">
        <v>1140</v>
      </c>
      <c r="C125" t="str">
        <f t="shared" si="2"/>
        <v>Puebloviejo</v>
      </c>
      <c r="D125" t="str">
        <f t="shared" si="3"/>
        <v>EC1204</v>
      </c>
      <c r="E125" t="s">
        <v>2321</v>
      </c>
      <c r="F125" t="s">
        <v>2322</v>
      </c>
      <c r="G125" t="s">
        <v>2023</v>
      </c>
      <c r="H125" t="s">
        <v>2021</v>
      </c>
    </row>
    <row r="126" spans="1:8" x14ac:dyDescent="0.15">
      <c r="A126" t="s">
        <v>2145</v>
      </c>
      <c r="B126" t="s">
        <v>1145</v>
      </c>
      <c r="C126" t="str">
        <f t="shared" si="2"/>
        <v>Quevedo</v>
      </c>
      <c r="D126" t="str">
        <f t="shared" si="3"/>
        <v>EC1205</v>
      </c>
      <c r="E126" t="s">
        <v>2321</v>
      </c>
      <c r="F126" t="s">
        <v>2322</v>
      </c>
      <c r="G126" t="s">
        <v>2023</v>
      </c>
      <c r="H126" t="s">
        <v>2021</v>
      </c>
    </row>
    <row r="127" spans="1:8" x14ac:dyDescent="0.15">
      <c r="A127" t="s">
        <v>2144</v>
      </c>
      <c r="B127" t="s">
        <v>1080</v>
      </c>
      <c r="C127" t="str">
        <f t="shared" si="2"/>
        <v>Urdaneta</v>
      </c>
      <c r="D127" t="str">
        <f t="shared" si="3"/>
        <v>EC1206</v>
      </c>
      <c r="E127" t="s">
        <v>2321</v>
      </c>
      <c r="F127" t="s">
        <v>2322</v>
      </c>
      <c r="G127" t="s">
        <v>2023</v>
      </c>
      <c r="H127" t="s">
        <v>2021</v>
      </c>
    </row>
    <row r="128" spans="1:8" x14ac:dyDescent="0.15">
      <c r="A128" t="s">
        <v>2143</v>
      </c>
      <c r="B128" t="s">
        <v>1152</v>
      </c>
      <c r="C128" t="str">
        <f t="shared" si="2"/>
        <v>Ventanas</v>
      </c>
      <c r="D128" t="str">
        <f t="shared" si="3"/>
        <v>EC1207</v>
      </c>
      <c r="E128" t="s">
        <v>2321</v>
      </c>
      <c r="F128" t="s">
        <v>2322</v>
      </c>
      <c r="G128" t="s">
        <v>2023</v>
      </c>
      <c r="H128" t="s">
        <v>2021</v>
      </c>
    </row>
    <row r="129" spans="1:8" x14ac:dyDescent="0.15">
      <c r="A129" t="s">
        <v>2142</v>
      </c>
      <c r="B129" t="s">
        <v>1160</v>
      </c>
      <c r="C129" t="str">
        <f t="shared" si="2"/>
        <v>Vinces</v>
      </c>
      <c r="D129" t="str">
        <f t="shared" si="3"/>
        <v>EC1208</v>
      </c>
      <c r="E129" t="s">
        <v>2321</v>
      </c>
      <c r="F129" t="s">
        <v>2322</v>
      </c>
      <c r="G129" t="s">
        <v>2023</v>
      </c>
      <c r="H129" t="s">
        <v>2021</v>
      </c>
    </row>
    <row r="130" spans="1:8" x14ac:dyDescent="0.15">
      <c r="A130" t="s">
        <v>2141</v>
      </c>
      <c r="B130" t="s">
        <v>1164</v>
      </c>
      <c r="C130" t="str">
        <f t="shared" si="2"/>
        <v>Palenque</v>
      </c>
      <c r="D130" t="str">
        <f t="shared" si="3"/>
        <v>EC1209</v>
      </c>
      <c r="E130" t="s">
        <v>2321</v>
      </c>
      <c r="F130" t="s">
        <v>2322</v>
      </c>
      <c r="G130" t="s">
        <v>2023</v>
      </c>
      <c r="H130" t="s">
        <v>2021</v>
      </c>
    </row>
    <row r="131" spans="1:8" x14ac:dyDescent="0.15">
      <c r="A131" t="s">
        <v>2140</v>
      </c>
      <c r="B131" t="s">
        <v>2139</v>
      </c>
      <c r="C131" t="str">
        <f t="shared" ref="C131:C194" si="4">SUBSTITUTE(SUBSTITUTE(SUBSTITUTE(SUBSTITUTE(SUBSTITUTE(SUBSTITUTE(PROPER($B131)," De "," de ")," La "," la ")," Del "," del ")," Los "," los ")," Y "," y "),"En","en")</f>
        <v>Buena Fe</v>
      </c>
      <c r="D131" t="str">
        <f t="shared" ref="D131:D194" si="5">"EC"&amp;A131</f>
        <v>EC1210</v>
      </c>
      <c r="E131" t="s">
        <v>2321</v>
      </c>
      <c r="F131" t="s">
        <v>2322</v>
      </c>
      <c r="G131" t="s">
        <v>2023</v>
      </c>
      <c r="H131" t="s">
        <v>2021</v>
      </c>
    </row>
    <row r="132" spans="1:8" x14ac:dyDescent="0.15">
      <c r="A132" t="s">
        <v>2138</v>
      </c>
      <c r="B132" t="s">
        <v>1170</v>
      </c>
      <c r="C132" t="str">
        <f t="shared" si="4"/>
        <v>Valencia</v>
      </c>
      <c r="D132" t="str">
        <f t="shared" si="5"/>
        <v>EC1211</v>
      </c>
      <c r="E132" t="s">
        <v>2321</v>
      </c>
      <c r="F132" t="s">
        <v>2322</v>
      </c>
      <c r="G132" t="s">
        <v>2023</v>
      </c>
      <c r="H132" t="s">
        <v>2021</v>
      </c>
    </row>
    <row r="133" spans="1:8" x14ac:dyDescent="0.15">
      <c r="A133" t="s">
        <v>2137</v>
      </c>
      <c r="B133" t="s">
        <v>1172</v>
      </c>
      <c r="C133" t="str">
        <f t="shared" si="4"/>
        <v>Mocache</v>
      </c>
      <c r="D133" t="str">
        <f t="shared" si="5"/>
        <v>EC1212</v>
      </c>
      <c r="E133" t="s">
        <v>2321</v>
      </c>
      <c r="F133" t="s">
        <v>2322</v>
      </c>
      <c r="G133" t="s">
        <v>2023</v>
      </c>
      <c r="H133" t="s">
        <v>2021</v>
      </c>
    </row>
    <row r="134" spans="1:8" x14ac:dyDescent="0.15">
      <c r="A134" t="s">
        <v>2136</v>
      </c>
      <c r="B134" t="s">
        <v>1174</v>
      </c>
      <c r="C134" t="str">
        <f t="shared" si="4"/>
        <v>Quinsaloma</v>
      </c>
      <c r="D134" t="str">
        <f t="shared" si="5"/>
        <v>EC1213</v>
      </c>
      <c r="E134" t="s">
        <v>2321</v>
      </c>
      <c r="F134" t="s">
        <v>2322</v>
      </c>
      <c r="G134" t="s">
        <v>2023</v>
      </c>
      <c r="H134" t="s">
        <v>2021</v>
      </c>
    </row>
    <row r="135" spans="1:8" x14ac:dyDescent="0.15">
      <c r="A135" t="s">
        <v>2135</v>
      </c>
      <c r="B135" t="s">
        <v>1176</v>
      </c>
      <c r="C135" t="str">
        <f t="shared" si="4"/>
        <v>Portoviejo</v>
      </c>
      <c r="D135" t="str">
        <f t="shared" si="5"/>
        <v>EC1301</v>
      </c>
      <c r="E135" t="s">
        <v>2323</v>
      </c>
      <c r="F135" t="s">
        <v>2324</v>
      </c>
      <c r="G135" t="s">
        <v>2023</v>
      </c>
      <c r="H135" t="s">
        <v>2021</v>
      </c>
    </row>
    <row r="136" spans="1:8" x14ac:dyDescent="0.15">
      <c r="A136" t="s">
        <v>2134</v>
      </c>
      <c r="B136" t="s">
        <v>156</v>
      </c>
      <c r="C136" t="str">
        <f t="shared" si="4"/>
        <v>Bolívar</v>
      </c>
      <c r="D136" t="str">
        <f t="shared" si="5"/>
        <v>EC1302</v>
      </c>
      <c r="E136" t="s">
        <v>2323</v>
      </c>
      <c r="F136" t="s">
        <v>2324</v>
      </c>
      <c r="G136" t="s">
        <v>2023</v>
      </c>
      <c r="H136" t="s">
        <v>2021</v>
      </c>
    </row>
    <row r="137" spans="1:8" x14ac:dyDescent="0.15">
      <c r="A137" t="s">
        <v>2133</v>
      </c>
      <c r="B137" t="s">
        <v>1196</v>
      </c>
      <c r="C137" t="str">
        <f t="shared" si="4"/>
        <v>Chone</v>
      </c>
      <c r="D137" t="str">
        <f t="shared" si="5"/>
        <v>EC1303</v>
      </c>
      <c r="E137" t="s">
        <v>2323</v>
      </c>
      <c r="F137" t="s">
        <v>2324</v>
      </c>
      <c r="G137" t="s">
        <v>2023</v>
      </c>
      <c r="H137" t="s">
        <v>2021</v>
      </c>
    </row>
    <row r="138" spans="1:8" x14ac:dyDescent="0.15">
      <c r="A138" t="s">
        <v>2132</v>
      </c>
      <c r="B138" t="s">
        <v>1209</v>
      </c>
      <c r="C138" t="str">
        <f t="shared" si="4"/>
        <v>El Carmen</v>
      </c>
      <c r="D138" t="str">
        <f t="shared" si="5"/>
        <v>EC1304</v>
      </c>
      <c r="E138" t="s">
        <v>2323</v>
      </c>
      <c r="F138" t="s">
        <v>2324</v>
      </c>
      <c r="G138" t="s">
        <v>2023</v>
      </c>
      <c r="H138" t="s">
        <v>2021</v>
      </c>
    </row>
    <row r="139" spans="1:8" x14ac:dyDescent="0.15">
      <c r="A139" t="s">
        <v>2131</v>
      </c>
      <c r="B139" t="s">
        <v>1219</v>
      </c>
      <c r="C139" t="str">
        <f t="shared" si="4"/>
        <v>Flavio Alfaro</v>
      </c>
      <c r="D139" t="str">
        <f t="shared" si="5"/>
        <v>EC1305</v>
      </c>
      <c r="E139" t="s">
        <v>2323</v>
      </c>
      <c r="F139" t="s">
        <v>2324</v>
      </c>
      <c r="G139" t="s">
        <v>2023</v>
      </c>
      <c r="H139" t="s">
        <v>2021</v>
      </c>
    </row>
    <row r="140" spans="1:8" x14ac:dyDescent="0.15">
      <c r="A140" t="s">
        <v>2130</v>
      </c>
      <c r="B140" t="s">
        <v>1225</v>
      </c>
      <c r="C140" t="str">
        <f t="shared" si="4"/>
        <v>Jipijapa</v>
      </c>
      <c r="D140" t="str">
        <f t="shared" si="5"/>
        <v>EC1306</v>
      </c>
      <c r="E140" t="s">
        <v>2323</v>
      </c>
      <c r="F140" t="s">
        <v>2324</v>
      </c>
      <c r="G140" t="s">
        <v>2023</v>
      </c>
      <c r="H140" t="s">
        <v>2021</v>
      </c>
    </row>
    <row r="141" spans="1:8" x14ac:dyDescent="0.15">
      <c r="A141" t="s">
        <v>2129</v>
      </c>
      <c r="B141" t="s">
        <v>1240</v>
      </c>
      <c r="C141" t="str">
        <f t="shared" si="4"/>
        <v>Junín</v>
      </c>
      <c r="D141" t="str">
        <f t="shared" si="5"/>
        <v>EC1307</v>
      </c>
      <c r="E141" t="s">
        <v>2323</v>
      </c>
      <c r="F141" t="s">
        <v>2324</v>
      </c>
      <c r="G141" t="s">
        <v>2023</v>
      </c>
      <c r="H141" t="s">
        <v>2021</v>
      </c>
    </row>
    <row r="142" spans="1:8" x14ac:dyDescent="0.15">
      <c r="A142" t="s">
        <v>2128</v>
      </c>
      <c r="B142" t="s">
        <v>1242</v>
      </c>
      <c r="C142" t="str">
        <f t="shared" si="4"/>
        <v>Manta</v>
      </c>
      <c r="D142" t="str">
        <f t="shared" si="5"/>
        <v>EC1308</v>
      </c>
      <c r="E142" t="s">
        <v>2323</v>
      </c>
      <c r="F142" t="s">
        <v>2324</v>
      </c>
      <c r="G142" t="s">
        <v>2023</v>
      </c>
      <c r="H142" t="s">
        <v>2021</v>
      </c>
    </row>
    <row r="143" spans="1:8" x14ac:dyDescent="0.15">
      <c r="A143" t="s">
        <v>2127</v>
      </c>
      <c r="B143" t="s">
        <v>1247</v>
      </c>
      <c r="C143" t="str">
        <f t="shared" si="4"/>
        <v>Montecristi</v>
      </c>
      <c r="D143" t="str">
        <f t="shared" si="5"/>
        <v>EC1309</v>
      </c>
      <c r="E143" t="s">
        <v>2323</v>
      </c>
      <c r="F143" t="s">
        <v>2324</v>
      </c>
      <c r="G143" t="s">
        <v>2023</v>
      </c>
      <c r="H143" t="s">
        <v>2021</v>
      </c>
    </row>
    <row r="144" spans="1:8" x14ac:dyDescent="0.15">
      <c r="A144" t="s">
        <v>2126</v>
      </c>
      <c r="B144" t="s">
        <v>1251</v>
      </c>
      <c r="C144" t="str">
        <f t="shared" si="4"/>
        <v>Paján</v>
      </c>
      <c r="D144" t="str">
        <f t="shared" si="5"/>
        <v>EC1310</v>
      </c>
      <c r="E144" t="s">
        <v>2323</v>
      </c>
      <c r="F144" t="s">
        <v>2324</v>
      </c>
      <c r="G144" t="s">
        <v>2023</v>
      </c>
      <c r="H144" t="s">
        <v>2021</v>
      </c>
    </row>
    <row r="145" spans="1:8" x14ac:dyDescent="0.15">
      <c r="A145" t="s">
        <v>2125</v>
      </c>
      <c r="B145" t="s">
        <v>1261</v>
      </c>
      <c r="C145" t="str">
        <f t="shared" si="4"/>
        <v>Pichincha</v>
      </c>
      <c r="D145" t="str">
        <f t="shared" si="5"/>
        <v>EC1311</v>
      </c>
      <c r="E145" t="s">
        <v>2323</v>
      </c>
      <c r="F145" t="s">
        <v>2324</v>
      </c>
      <c r="G145" t="s">
        <v>2023</v>
      </c>
      <c r="H145" t="s">
        <v>2021</v>
      </c>
    </row>
    <row r="146" spans="1:8" x14ac:dyDescent="0.15">
      <c r="A146" t="s">
        <v>2124</v>
      </c>
      <c r="B146" t="s">
        <v>764</v>
      </c>
      <c r="C146" t="str">
        <f t="shared" si="4"/>
        <v>Rocafuerte</v>
      </c>
      <c r="D146" t="str">
        <f t="shared" si="5"/>
        <v>EC1312</v>
      </c>
      <c r="E146" t="s">
        <v>2323</v>
      </c>
      <c r="F146" t="s">
        <v>2324</v>
      </c>
      <c r="G146" t="s">
        <v>2023</v>
      </c>
      <c r="H146" t="s">
        <v>2021</v>
      </c>
    </row>
    <row r="147" spans="1:8" x14ac:dyDescent="0.15">
      <c r="A147" t="s">
        <v>2123</v>
      </c>
      <c r="B147" t="s">
        <v>31</v>
      </c>
      <c r="C147" t="str">
        <f t="shared" si="4"/>
        <v>Santa Ana</v>
      </c>
      <c r="D147" t="str">
        <f t="shared" si="5"/>
        <v>EC1313</v>
      </c>
      <c r="E147" t="s">
        <v>2323</v>
      </c>
      <c r="F147" t="s">
        <v>2324</v>
      </c>
      <c r="G147" t="s">
        <v>2023</v>
      </c>
      <c r="H147" t="s">
        <v>2021</v>
      </c>
    </row>
    <row r="148" spans="1:8" x14ac:dyDescent="0.15">
      <c r="A148" t="s">
        <v>2122</v>
      </c>
      <c r="B148" t="s">
        <v>1275</v>
      </c>
      <c r="C148" t="str">
        <f t="shared" si="4"/>
        <v>Sucre</v>
      </c>
      <c r="D148" t="str">
        <f t="shared" si="5"/>
        <v>EC1314</v>
      </c>
      <c r="E148" t="s">
        <v>2323</v>
      </c>
      <c r="F148" t="s">
        <v>2324</v>
      </c>
      <c r="G148" t="s">
        <v>2023</v>
      </c>
      <c r="H148" t="s">
        <v>2021</v>
      </c>
    </row>
    <row r="149" spans="1:8" x14ac:dyDescent="0.15">
      <c r="A149" t="s">
        <v>2121</v>
      </c>
      <c r="B149" t="s">
        <v>1280</v>
      </c>
      <c r="C149" t="str">
        <f t="shared" si="4"/>
        <v>Tosagua</v>
      </c>
      <c r="D149" t="str">
        <f t="shared" si="5"/>
        <v>EC1315</v>
      </c>
      <c r="E149" t="s">
        <v>2323</v>
      </c>
      <c r="F149" t="s">
        <v>2324</v>
      </c>
      <c r="G149" t="s">
        <v>2023</v>
      </c>
      <c r="H149" t="s">
        <v>2021</v>
      </c>
    </row>
    <row r="150" spans="1:8" x14ac:dyDescent="0.15">
      <c r="A150" t="s">
        <v>2120</v>
      </c>
      <c r="B150" t="s">
        <v>2119</v>
      </c>
      <c r="C150" t="str">
        <f t="shared" si="4"/>
        <v>24 de Mayo</v>
      </c>
      <c r="D150" t="str">
        <f t="shared" si="5"/>
        <v>EC1316</v>
      </c>
      <c r="E150" t="s">
        <v>2323</v>
      </c>
      <c r="F150" t="s">
        <v>2324</v>
      </c>
      <c r="G150" t="s">
        <v>2023</v>
      </c>
      <c r="H150" t="s">
        <v>2021</v>
      </c>
    </row>
    <row r="151" spans="1:8" x14ac:dyDescent="0.15">
      <c r="A151" t="s">
        <v>2118</v>
      </c>
      <c r="B151" t="s">
        <v>1292</v>
      </c>
      <c r="C151" t="str">
        <f t="shared" si="4"/>
        <v>Pedernales</v>
      </c>
      <c r="D151" t="str">
        <f t="shared" si="5"/>
        <v>EC1317</v>
      </c>
      <c r="E151" t="s">
        <v>2323</v>
      </c>
      <c r="F151" t="s">
        <v>2324</v>
      </c>
      <c r="G151" t="s">
        <v>2023</v>
      </c>
      <c r="H151" t="s">
        <v>2021</v>
      </c>
    </row>
    <row r="152" spans="1:8" x14ac:dyDescent="0.15">
      <c r="A152" t="s">
        <v>2117</v>
      </c>
      <c r="B152" t="s">
        <v>1118</v>
      </c>
      <c r="C152" t="str">
        <f t="shared" si="4"/>
        <v>Olmedo</v>
      </c>
      <c r="D152" t="str">
        <f t="shared" si="5"/>
        <v>EC1318</v>
      </c>
      <c r="E152" t="s">
        <v>2323</v>
      </c>
      <c r="F152" t="s">
        <v>2324</v>
      </c>
      <c r="G152" t="s">
        <v>2023</v>
      </c>
      <c r="H152" t="s">
        <v>2021</v>
      </c>
    </row>
    <row r="153" spans="1:8" x14ac:dyDescent="0.15">
      <c r="A153" t="s">
        <v>2116</v>
      </c>
      <c r="B153" t="s">
        <v>1300</v>
      </c>
      <c r="C153" t="str">
        <f t="shared" si="4"/>
        <v>Puerto López</v>
      </c>
      <c r="D153" t="str">
        <f t="shared" si="5"/>
        <v>EC1319</v>
      </c>
      <c r="E153" t="s">
        <v>2323</v>
      </c>
      <c r="F153" t="s">
        <v>2324</v>
      </c>
      <c r="G153" t="s">
        <v>2023</v>
      </c>
      <c r="H153" t="s">
        <v>2021</v>
      </c>
    </row>
    <row r="154" spans="1:8" x14ac:dyDescent="0.15">
      <c r="A154" t="s">
        <v>2115</v>
      </c>
      <c r="B154" t="s">
        <v>1306</v>
      </c>
      <c r="C154" t="str">
        <f t="shared" si="4"/>
        <v>Jama</v>
      </c>
      <c r="D154" t="str">
        <f t="shared" si="5"/>
        <v>EC1320</v>
      </c>
      <c r="E154" t="s">
        <v>2323</v>
      </c>
      <c r="F154" t="s">
        <v>2324</v>
      </c>
      <c r="G154" t="s">
        <v>2023</v>
      </c>
      <c r="H154" t="s">
        <v>2021</v>
      </c>
    </row>
    <row r="155" spans="1:8" x14ac:dyDescent="0.15">
      <c r="A155" t="s">
        <v>2114</v>
      </c>
      <c r="B155" t="s">
        <v>1308</v>
      </c>
      <c r="C155" t="str">
        <f t="shared" si="4"/>
        <v>Jaramijó</v>
      </c>
      <c r="D155" t="str">
        <f t="shared" si="5"/>
        <v>EC1321</v>
      </c>
      <c r="E155" t="s">
        <v>2323</v>
      </c>
      <c r="F155" t="s">
        <v>2324</v>
      </c>
      <c r="G155" t="s">
        <v>2023</v>
      </c>
      <c r="H155" t="s">
        <v>2021</v>
      </c>
    </row>
    <row r="156" spans="1:8" x14ac:dyDescent="0.15">
      <c r="A156" t="s">
        <v>2113</v>
      </c>
      <c r="B156" t="s">
        <v>143</v>
      </c>
      <c r="C156" t="str">
        <f t="shared" si="4"/>
        <v>San Vicente</v>
      </c>
      <c r="D156" t="str">
        <f t="shared" si="5"/>
        <v>EC1322</v>
      </c>
      <c r="E156" t="s">
        <v>2323</v>
      </c>
      <c r="F156" t="s">
        <v>2324</v>
      </c>
      <c r="G156" t="s">
        <v>2023</v>
      </c>
      <c r="H156" t="s">
        <v>2021</v>
      </c>
    </row>
    <row r="157" spans="1:8" x14ac:dyDescent="0.15">
      <c r="A157" t="s">
        <v>2112</v>
      </c>
      <c r="B157" t="s">
        <v>2111</v>
      </c>
      <c r="C157" t="str">
        <f t="shared" si="4"/>
        <v>Morona</v>
      </c>
      <c r="D157" t="str">
        <f t="shared" si="5"/>
        <v>EC1401</v>
      </c>
      <c r="E157" t="s">
        <v>2325</v>
      </c>
      <c r="F157" t="s">
        <v>2326</v>
      </c>
      <c r="G157" t="s">
        <v>2023</v>
      </c>
      <c r="H157" t="s">
        <v>2021</v>
      </c>
    </row>
    <row r="158" spans="1:8" x14ac:dyDescent="0.15">
      <c r="A158" t="s">
        <v>2110</v>
      </c>
      <c r="B158" t="s">
        <v>1330</v>
      </c>
      <c r="C158" t="str">
        <f t="shared" si="4"/>
        <v>Gualaquiza</v>
      </c>
      <c r="D158" t="str">
        <f t="shared" si="5"/>
        <v>EC1402</v>
      </c>
      <c r="E158" t="s">
        <v>2325</v>
      </c>
      <c r="F158" t="s">
        <v>2326</v>
      </c>
      <c r="G158" t="s">
        <v>2023</v>
      </c>
      <c r="H158" t="s">
        <v>2021</v>
      </c>
    </row>
    <row r="159" spans="1:8" x14ac:dyDescent="0.15">
      <c r="A159" t="s">
        <v>2109</v>
      </c>
      <c r="B159" t="s">
        <v>2108</v>
      </c>
      <c r="C159" t="str">
        <f t="shared" si="4"/>
        <v>Limón Indanza</v>
      </c>
      <c r="D159" t="str">
        <f t="shared" si="5"/>
        <v>EC1403</v>
      </c>
      <c r="E159" t="s">
        <v>2325</v>
      </c>
      <c r="F159" t="s">
        <v>2326</v>
      </c>
      <c r="G159" t="s">
        <v>2023</v>
      </c>
      <c r="H159" t="s">
        <v>2021</v>
      </c>
    </row>
    <row r="160" spans="1:8" x14ac:dyDescent="0.15">
      <c r="A160" t="s">
        <v>2107</v>
      </c>
      <c r="B160" t="s">
        <v>1358</v>
      </c>
      <c r="C160" t="str">
        <f t="shared" si="4"/>
        <v>Palora</v>
      </c>
      <c r="D160" t="str">
        <f t="shared" si="5"/>
        <v>EC1404</v>
      </c>
      <c r="E160" t="s">
        <v>2325</v>
      </c>
      <c r="F160" t="s">
        <v>2326</v>
      </c>
      <c r="G160" t="s">
        <v>2023</v>
      </c>
      <c r="H160" t="s">
        <v>2021</v>
      </c>
    </row>
    <row r="161" spans="1:8" x14ac:dyDescent="0.15">
      <c r="A161" t="s">
        <v>2106</v>
      </c>
      <c r="B161" t="s">
        <v>200</v>
      </c>
      <c r="C161" t="str">
        <f t="shared" si="4"/>
        <v>Santiago</v>
      </c>
      <c r="D161" t="str">
        <f t="shared" si="5"/>
        <v>EC1405</v>
      </c>
      <c r="E161" t="s">
        <v>2325</v>
      </c>
      <c r="F161" t="s">
        <v>2326</v>
      </c>
      <c r="G161" t="s">
        <v>2023</v>
      </c>
      <c r="H161" t="s">
        <v>2021</v>
      </c>
    </row>
    <row r="162" spans="1:8" x14ac:dyDescent="0.15">
      <c r="A162" t="s">
        <v>2105</v>
      </c>
      <c r="B162" t="s">
        <v>1381</v>
      </c>
      <c r="C162" t="str">
        <f t="shared" si="4"/>
        <v>Sucúa</v>
      </c>
      <c r="D162" t="str">
        <f t="shared" si="5"/>
        <v>EC1406</v>
      </c>
      <c r="E162" t="s">
        <v>2325</v>
      </c>
      <c r="F162" t="s">
        <v>2326</v>
      </c>
      <c r="G162" t="s">
        <v>2023</v>
      </c>
      <c r="H162" t="s">
        <v>2021</v>
      </c>
    </row>
    <row r="163" spans="1:8" x14ac:dyDescent="0.15">
      <c r="A163" t="s">
        <v>2104</v>
      </c>
      <c r="B163" t="s">
        <v>1388</v>
      </c>
      <c r="C163" t="str">
        <f t="shared" si="4"/>
        <v>Huamboya</v>
      </c>
      <c r="D163" t="str">
        <f t="shared" si="5"/>
        <v>EC1407</v>
      </c>
      <c r="E163" t="s">
        <v>2325</v>
      </c>
      <c r="F163" t="s">
        <v>2326</v>
      </c>
      <c r="G163" t="s">
        <v>2023</v>
      </c>
      <c r="H163" t="s">
        <v>2021</v>
      </c>
    </row>
    <row r="164" spans="1:8" x14ac:dyDescent="0.15">
      <c r="A164" t="s">
        <v>2103</v>
      </c>
      <c r="B164" t="s">
        <v>1392</v>
      </c>
      <c r="C164" t="str">
        <f t="shared" si="4"/>
        <v>San Juan Bosco</v>
      </c>
      <c r="D164" t="str">
        <f t="shared" si="5"/>
        <v>EC1408</v>
      </c>
      <c r="E164" t="s">
        <v>2325</v>
      </c>
      <c r="F164" t="s">
        <v>2326</v>
      </c>
      <c r="G164" t="s">
        <v>2023</v>
      </c>
      <c r="H164" t="s">
        <v>2021</v>
      </c>
    </row>
    <row r="165" spans="1:8" x14ac:dyDescent="0.15">
      <c r="A165" t="s">
        <v>2102</v>
      </c>
      <c r="B165" t="s">
        <v>1402</v>
      </c>
      <c r="C165" t="str">
        <f t="shared" si="4"/>
        <v>Taisha</v>
      </c>
      <c r="D165" t="str">
        <f t="shared" si="5"/>
        <v>EC1409</v>
      </c>
      <c r="E165" t="s">
        <v>2325</v>
      </c>
      <c r="F165" t="s">
        <v>2326</v>
      </c>
      <c r="G165" t="s">
        <v>2023</v>
      </c>
      <c r="H165" t="s">
        <v>2021</v>
      </c>
    </row>
    <row r="166" spans="1:8" x14ac:dyDescent="0.15">
      <c r="A166" t="s">
        <v>2101</v>
      </c>
      <c r="B166" t="s">
        <v>1412</v>
      </c>
      <c r="C166" t="str">
        <f t="shared" si="4"/>
        <v>Logroño</v>
      </c>
      <c r="D166" t="str">
        <f t="shared" si="5"/>
        <v>EC1410</v>
      </c>
      <c r="E166" t="s">
        <v>2325</v>
      </c>
      <c r="F166" t="s">
        <v>2326</v>
      </c>
      <c r="G166" t="s">
        <v>2023</v>
      </c>
      <c r="H166" t="s">
        <v>2021</v>
      </c>
    </row>
    <row r="167" spans="1:8" x14ac:dyDescent="0.15">
      <c r="A167" t="s">
        <v>2100</v>
      </c>
      <c r="B167" t="s">
        <v>1418</v>
      </c>
      <c r="C167" t="str">
        <f t="shared" si="4"/>
        <v>Pablo Sexto</v>
      </c>
      <c r="D167" t="str">
        <f t="shared" si="5"/>
        <v>EC1411</v>
      </c>
      <c r="E167" t="s">
        <v>2325</v>
      </c>
      <c r="F167" t="s">
        <v>2326</v>
      </c>
      <c r="G167" t="s">
        <v>2023</v>
      </c>
      <c r="H167" t="s">
        <v>2021</v>
      </c>
    </row>
    <row r="168" spans="1:8" x14ac:dyDescent="0.15">
      <c r="A168" t="s">
        <v>2099</v>
      </c>
      <c r="B168" t="s">
        <v>2098</v>
      </c>
      <c r="C168" t="str">
        <f t="shared" si="4"/>
        <v>Tiwintza</v>
      </c>
      <c r="D168" t="str">
        <f t="shared" si="5"/>
        <v>EC1412</v>
      </c>
      <c r="E168" t="s">
        <v>2325</v>
      </c>
      <c r="F168" t="s">
        <v>2326</v>
      </c>
      <c r="G168" t="s">
        <v>2023</v>
      </c>
      <c r="H168" t="s">
        <v>2021</v>
      </c>
    </row>
    <row r="169" spans="1:8" x14ac:dyDescent="0.15">
      <c r="A169" t="s">
        <v>2097</v>
      </c>
      <c r="B169" t="s">
        <v>1423</v>
      </c>
      <c r="C169" t="str">
        <f t="shared" si="4"/>
        <v>Tena</v>
      </c>
      <c r="D169" t="str">
        <f t="shared" si="5"/>
        <v>EC1501</v>
      </c>
      <c r="E169" t="s">
        <v>2327</v>
      </c>
      <c r="F169" t="s">
        <v>2328</v>
      </c>
      <c r="G169" t="s">
        <v>2023</v>
      </c>
      <c r="H169" t="s">
        <v>2021</v>
      </c>
    </row>
    <row r="170" spans="1:8" x14ac:dyDescent="0.15">
      <c r="A170" t="s">
        <v>2096</v>
      </c>
      <c r="B170" t="s">
        <v>1439</v>
      </c>
      <c r="C170" t="str">
        <f t="shared" si="4"/>
        <v>Archidona</v>
      </c>
      <c r="D170" t="str">
        <f t="shared" si="5"/>
        <v>EC1503</v>
      </c>
      <c r="E170" t="s">
        <v>2327</v>
      </c>
      <c r="F170" t="s">
        <v>2328</v>
      </c>
      <c r="G170" t="s">
        <v>2023</v>
      </c>
      <c r="H170" t="s">
        <v>2021</v>
      </c>
    </row>
    <row r="171" spans="1:8" x14ac:dyDescent="0.15">
      <c r="A171" t="s">
        <v>2095</v>
      </c>
      <c r="B171" t="s">
        <v>1447</v>
      </c>
      <c r="C171" t="str">
        <f t="shared" si="4"/>
        <v>El Chaco</v>
      </c>
      <c r="D171" t="str">
        <f t="shared" si="5"/>
        <v>EC1504</v>
      </c>
      <c r="E171" t="s">
        <v>2327</v>
      </c>
      <c r="F171" t="s">
        <v>2328</v>
      </c>
      <c r="G171" t="s">
        <v>2023</v>
      </c>
      <c r="H171" t="s">
        <v>2021</v>
      </c>
    </row>
    <row r="172" spans="1:8" x14ac:dyDescent="0.15">
      <c r="A172" t="s">
        <v>2094</v>
      </c>
      <c r="B172" t="s">
        <v>2093</v>
      </c>
      <c r="C172" t="str">
        <f t="shared" si="4"/>
        <v>Quijos</v>
      </c>
      <c r="D172" t="str">
        <f t="shared" si="5"/>
        <v>EC1507</v>
      </c>
      <c r="E172" t="s">
        <v>2327</v>
      </c>
      <c r="F172" t="s">
        <v>2328</v>
      </c>
      <c r="G172" t="s">
        <v>2023</v>
      </c>
      <c r="H172" t="s">
        <v>2021</v>
      </c>
    </row>
    <row r="173" spans="1:8" x14ac:dyDescent="0.15">
      <c r="A173" t="s">
        <v>2092</v>
      </c>
      <c r="B173" t="s">
        <v>1470</v>
      </c>
      <c r="C173" t="str">
        <f t="shared" si="4"/>
        <v>Carlos Julio Arosemena Tola</v>
      </c>
      <c r="D173" t="str">
        <f t="shared" si="5"/>
        <v>EC1509</v>
      </c>
      <c r="E173" t="s">
        <v>2327</v>
      </c>
      <c r="F173" t="s">
        <v>2328</v>
      </c>
      <c r="G173" t="s">
        <v>2023</v>
      </c>
      <c r="H173" t="s">
        <v>2021</v>
      </c>
    </row>
    <row r="174" spans="1:8" x14ac:dyDescent="0.15">
      <c r="A174" t="s">
        <v>2091</v>
      </c>
      <c r="B174" t="s">
        <v>2006</v>
      </c>
      <c r="C174" t="str">
        <f t="shared" si="4"/>
        <v>Pastaza</v>
      </c>
      <c r="D174" t="str">
        <f t="shared" si="5"/>
        <v>EC1601</v>
      </c>
      <c r="E174" t="s">
        <v>2329</v>
      </c>
      <c r="F174" t="s">
        <v>2330</v>
      </c>
      <c r="G174" t="s">
        <v>2023</v>
      </c>
      <c r="H174" t="s">
        <v>2021</v>
      </c>
    </row>
    <row r="175" spans="1:8" x14ac:dyDescent="0.15">
      <c r="A175" t="s">
        <v>2090</v>
      </c>
      <c r="B175" t="s">
        <v>1495</v>
      </c>
      <c r="C175" t="str">
        <f t="shared" si="4"/>
        <v>Mera</v>
      </c>
      <c r="D175" t="str">
        <f t="shared" si="5"/>
        <v>EC1602</v>
      </c>
      <c r="E175" t="s">
        <v>2329</v>
      </c>
      <c r="F175" t="s">
        <v>2330</v>
      </c>
      <c r="G175" t="s">
        <v>2023</v>
      </c>
      <c r="H175" t="s">
        <v>2021</v>
      </c>
    </row>
    <row r="176" spans="1:8" x14ac:dyDescent="0.15">
      <c r="A176" t="s">
        <v>2089</v>
      </c>
      <c r="B176" t="s">
        <v>1501</v>
      </c>
      <c r="C176" t="str">
        <f t="shared" si="4"/>
        <v>Santa Clara</v>
      </c>
      <c r="D176" t="str">
        <f t="shared" si="5"/>
        <v>EC1603</v>
      </c>
      <c r="E176" t="s">
        <v>2329</v>
      </c>
      <c r="F176" t="s">
        <v>2330</v>
      </c>
      <c r="G176" t="s">
        <v>2023</v>
      </c>
      <c r="H176" t="s">
        <v>2021</v>
      </c>
    </row>
    <row r="177" spans="1:8" x14ac:dyDescent="0.15">
      <c r="A177" t="s">
        <v>2088</v>
      </c>
      <c r="B177" t="s">
        <v>1504</v>
      </c>
      <c r="C177" t="str">
        <f t="shared" si="4"/>
        <v>Arajuno</v>
      </c>
      <c r="D177" t="str">
        <f t="shared" si="5"/>
        <v>EC1604</v>
      </c>
      <c r="E177" t="s">
        <v>2329</v>
      </c>
      <c r="F177" t="s">
        <v>2330</v>
      </c>
      <c r="G177" t="s">
        <v>2023</v>
      </c>
      <c r="H177" t="s">
        <v>2021</v>
      </c>
    </row>
    <row r="178" spans="1:8" x14ac:dyDescent="0.15">
      <c r="A178" t="s">
        <v>2087</v>
      </c>
      <c r="B178" t="s">
        <v>2086</v>
      </c>
      <c r="C178" t="str">
        <f t="shared" si="4"/>
        <v>Distrito Metropolitano de Quito</v>
      </c>
      <c r="D178" t="str">
        <f t="shared" si="5"/>
        <v>EC1701</v>
      </c>
      <c r="E178" t="s">
        <v>2331</v>
      </c>
      <c r="F178" t="s">
        <v>2332</v>
      </c>
      <c r="G178" t="s">
        <v>2023</v>
      </c>
      <c r="H178" t="s">
        <v>2021</v>
      </c>
    </row>
    <row r="179" spans="1:8" x14ac:dyDescent="0.15">
      <c r="A179" t="s">
        <v>2085</v>
      </c>
      <c r="B179" t="s">
        <v>1572</v>
      </c>
      <c r="C179" t="str">
        <f t="shared" si="4"/>
        <v>Cayambe</v>
      </c>
      <c r="D179" t="str">
        <f t="shared" si="5"/>
        <v>EC1702</v>
      </c>
      <c r="E179" t="s">
        <v>2331</v>
      </c>
      <c r="F179" t="s">
        <v>2332</v>
      </c>
      <c r="G179" t="s">
        <v>2023</v>
      </c>
      <c r="H179" t="s">
        <v>2021</v>
      </c>
    </row>
    <row r="180" spans="1:8" x14ac:dyDescent="0.15">
      <c r="A180" t="s">
        <v>2084</v>
      </c>
      <c r="B180" t="s">
        <v>2083</v>
      </c>
      <c r="C180" t="str">
        <f t="shared" si="4"/>
        <v>Mejía</v>
      </c>
      <c r="D180" t="str">
        <f t="shared" si="5"/>
        <v>EC1703</v>
      </c>
      <c r="E180" t="s">
        <v>2331</v>
      </c>
      <c r="F180" t="s">
        <v>2332</v>
      </c>
      <c r="G180" t="s">
        <v>2023</v>
      </c>
      <c r="H180" t="s">
        <v>2021</v>
      </c>
    </row>
    <row r="181" spans="1:8" x14ac:dyDescent="0.15">
      <c r="A181" t="s">
        <v>2082</v>
      </c>
      <c r="B181" t="s">
        <v>2081</v>
      </c>
      <c r="C181" t="str">
        <f t="shared" si="4"/>
        <v>Pedro Moncayo</v>
      </c>
      <c r="D181" t="str">
        <f t="shared" si="5"/>
        <v>EC1704</v>
      </c>
      <c r="E181" t="s">
        <v>2331</v>
      </c>
      <c r="F181" t="s">
        <v>2332</v>
      </c>
      <c r="G181" t="s">
        <v>2023</v>
      </c>
      <c r="H181" t="s">
        <v>2021</v>
      </c>
    </row>
    <row r="182" spans="1:8" x14ac:dyDescent="0.15">
      <c r="A182" t="s">
        <v>2080</v>
      </c>
      <c r="B182" t="s">
        <v>2079</v>
      </c>
      <c r="C182" t="str">
        <f t="shared" si="4"/>
        <v>Rumiñahui</v>
      </c>
      <c r="D182" t="str">
        <f t="shared" si="5"/>
        <v>EC1705</v>
      </c>
      <c r="E182" t="s">
        <v>2331</v>
      </c>
      <c r="F182" t="s">
        <v>2332</v>
      </c>
      <c r="G182" t="s">
        <v>2023</v>
      </c>
      <c r="H182" t="s">
        <v>2021</v>
      </c>
    </row>
    <row r="183" spans="1:8" x14ac:dyDescent="0.15">
      <c r="A183" t="s">
        <v>2078</v>
      </c>
      <c r="B183" t="s">
        <v>1615</v>
      </c>
      <c r="C183" t="str">
        <f t="shared" si="4"/>
        <v>San Miguel de los Bancos</v>
      </c>
      <c r="D183" t="str">
        <f t="shared" si="5"/>
        <v>EC1707</v>
      </c>
      <c r="E183" t="s">
        <v>2331</v>
      </c>
      <c r="F183" t="s">
        <v>2332</v>
      </c>
      <c r="G183" t="s">
        <v>2023</v>
      </c>
      <c r="H183" t="s">
        <v>2021</v>
      </c>
    </row>
    <row r="184" spans="1:8" x14ac:dyDescent="0.15">
      <c r="A184" t="s">
        <v>2077</v>
      </c>
      <c r="B184" t="s">
        <v>1619</v>
      </c>
      <c r="C184" t="str">
        <f t="shared" si="4"/>
        <v>Pedro Vicente Maldonado</v>
      </c>
      <c r="D184" t="str">
        <f t="shared" si="5"/>
        <v>EC1708</v>
      </c>
      <c r="E184" t="s">
        <v>2331</v>
      </c>
      <c r="F184" t="s">
        <v>2332</v>
      </c>
      <c r="G184" t="s">
        <v>2023</v>
      </c>
      <c r="H184" t="s">
        <v>2021</v>
      </c>
    </row>
    <row r="185" spans="1:8" x14ac:dyDescent="0.15">
      <c r="A185" t="s">
        <v>2076</v>
      </c>
      <c r="B185" t="s">
        <v>1621</v>
      </c>
      <c r="C185" t="str">
        <f t="shared" si="4"/>
        <v>Puerto Quito</v>
      </c>
      <c r="D185" t="str">
        <f t="shared" si="5"/>
        <v>EC1709</v>
      </c>
      <c r="E185" t="s">
        <v>2331</v>
      </c>
      <c r="F185" t="s">
        <v>2332</v>
      </c>
      <c r="G185" t="s">
        <v>2023</v>
      </c>
      <c r="H185" t="s">
        <v>2021</v>
      </c>
    </row>
    <row r="186" spans="1:8" x14ac:dyDescent="0.15">
      <c r="A186" t="s">
        <v>2075</v>
      </c>
      <c r="B186" t="s">
        <v>1623</v>
      </c>
      <c r="C186" t="str">
        <f t="shared" si="4"/>
        <v>Ambato</v>
      </c>
      <c r="D186" t="str">
        <f t="shared" si="5"/>
        <v>EC1801</v>
      </c>
      <c r="E186" t="s">
        <v>2333</v>
      </c>
      <c r="F186" t="s">
        <v>2334</v>
      </c>
      <c r="G186" t="s">
        <v>2023</v>
      </c>
      <c r="H186" t="s">
        <v>2021</v>
      </c>
    </row>
    <row r="187" spans="1:8" x14ac:dyDescent="0.15">
      <c r="A187" t="s">
        <v>2074</v>
      </c>
      <c r="B187" t="s">
        <v>2073</v>
      </c>
      <c r="C187" t="str">
        <f t="shared" si="4"/>
        <v>Baños de Agua Santa</v>
      </c>
      <c r="D187" t="str">
        <f t="shared" si="5"/>
        <v>EC1802</v>
      </c>
      <c r="E187" t="s">
        <v>2333</v>
      </c>
      <c r="F187" t="s">
        <v>2334</v>
      </c>
      <c r="G187" t="s">
        <v>2023</v>
      </c>
      <c r="H187" t="s">
        <v>2021</v>
      </c>
    </row>
    <row r="188" spans="1:8" x14ac:dyDescent="0.15">
      <c r="A188" t="s">
        <v>2072</v>
      </c>
      <c r="B188" t="s">
        <v>1666</v>
      </c>
      <c r="C188" t="str">
        <f t="shared" si="4"/>
        <v>Cevallos</v>
      </c>
      <c r="D188" t="str">
        <f t="shared" si="5"/>
        <v>EC1803</v>
      </c>
      <c r="E188" t="s">
        <v>2333</v>
      </c>
      <c r="F188" t="s">
        <v>2334</v>
      </c>
      <c r="G188" t="s">
        <v>2023</v>
      </c>
      <c r="H188" t="s">
        <v>2021</v>
      </c>
    </row>
    <row r="189" spans="1:8" x14ac:dyDescent="0.15">
      <c r="A189" t="s">
        <v>2071</v>
      </c>
      <c r="B189" t="s">
        <v>1668</v>
      </c>
      <c r="C189" t="str">
        <f t="shared" si="4"/>
        <v>Mocha</v>
      </c>
      <c r="D189" t="str">
        <f t="shared" si="5"/>
        <v>EC1804</v>
      </c>
      <c r="E189" t="s">
        <v>2333</v>
      </c>
      <c r="F189" t="s">
        <v>2334</v>
      </c>
      <c r="G189" t="s">
        <v>2023</v>
      </c>
      <c r="H189" t="s">
        <v>2021</v>
      </c>
    </row>
    <row r="190" spans="1:8" x14ac:dyDescent="0.15">
      <c r="A190" t="s">
        <v>2070</v>
      </c>
      <c r="B190" t="s">
        <v>1672</v>
      </c>
      <c r="C190" t="str">
        <f t="shared" si="4"/>
        <v>Patate</v>
      </c>
      <c r="D190" t="str">
        <f t="shared" si="5"/>
        <v>EC1805</v>
      </c>
      <c r="E190" t="s">
        <v>2333</v>
      </c>
      <c r="F190" t="s">
        <v>2334</v>
      </c>
      <c r="G190" t="s">
        <v>2023</v>
      </c>
      <c r="H190" t="s">
        <v>2021</v>
      </c>
    </row>
    <row r="191" spans="1:8" x14ac:dyDescent="0.15">
      <c r="A191" t="s">
        <v>2069</v>
      </c>
      <c r="B191" t="s">
        <v>1677</v>
      </c>
      <c r="C191" t="str">
        <f t="shared" si="4"/>
        <v>Quero</v>
      </c>
      <c r="D191" t="str">
        <f t="shared" si="5"/>
        <v>EC1806</v>
      </c>
      <c r="E191" t="s">
        <v>2333</v>
      </c>
      <c r="F191" t="s">
        <v>2334</v>
      </c>
      <c r="G191" t="s">
        <v>2023</v>
      </c>
      <c r="H191" t="s">
        <v>2021</v>
      </c>
    </row>
    <row r="192" spans="1:8" x14ac:dyDescent="0.15">
      <c r="A192" t="s">
        <v>2068</v>
      </c>
      <c r="B192" t="s">
        <v>2067</v>
      </c>
      <c r="C192" t="str">
        <f t="shared" si="4"/>
        <v>San Pedro de Pelileo</v>
      </c>
      <c r="D192" t="str">
        <f t="shared" si="5"/>
        <v>EC1807</v>
      </c>
      <c r="E192" t="s">
        <v>2333</v>
      </c>
      <c r="F192" t="s">
        <v>2334</v>
      </c>
      <c r="G192" t="s">
        <v>2023</v>
      </c>
      <c r="H192" t="s">
        <v>2021</v>
      </c>
    </row>
    <row r="193" spans="1:8" x14ac:dyDescent="0.15">
      <c r="A193" t="s">
        <v>2066</v>
      </c>
      <c r="B193" t="s">
        <v>2065</v>
      </c>
      <c r="C193" t="str">
        <f t="shared" si="4"/>
        <v>Santiago de Píllaro</v>
      </c>
      <c r="D193" t="str">
        <f t="shared" si="5"/>
        <v>EC1808</v>
      </c>
      <c r="E193" t="s">
        <v>2333</v>
      </c>
      <c r="F193" t="s">
        <v>2334</v>
      </c>
      <c r="G193" t="s">
        <v>2023</v>
      </c>
      <c r="H193" t="s">
        <v>2021</v>
      </c>
    </row>
    <row r="194" spans="1:8" x14ac:dyDescent="0.15">
      <c r="A194" t="s">
        <v>2064</v>
      </c>
      <c r="B194" t="s">
        <v>1712</v>
      </c>
      <c r="C194" t="str">
        <f t="shared" si="4"/>
        <v>Tisaleo</v>
      </c>
      <c r="D194" t="str">
        <f t="shared" si="5"/>
        <v>EC1809</v>
      </c>
      <c r="E194" t="s">
        <v>2333</v>
      </c>
      <c r="F194" t="s">
        <v>2334</v>
      </c>
      <c r="G194" t="s">
        <v>2023</v>
      </c>
      <c r="H194" t="s">
        <v>2021</v>
      </c>
    </row>
    <row r="195" spans="1:8" x14ac:dyDescent="0.15">
      <c r="A195" t="s">
        <v>2063</v>
      </c>
      <c r="B195" t="s">
        <v>1716</v>
      </c>
      <c r="C195" t="str">
        <f t="shared" ref="C195:C224" si="6">SUBSTITUTE(SUBSTITUTE(SUBSTITUTE(SUBSTITUTE(SUBSTITUTE(SUBSTITUTE(PROPER($B195)," De "," de ")," La "," la ")," Del "," del ")," Los "," los ")," Y "," y "),"En","en")</f>
        <v>Zamora</v>
      </c>
      <c r="D195" t="str">
        <f t="shared" ref="D195:D224" si="7">"EC"&amp;A195</f>
        <v>EC1901</v>
      </c>
      <c r="E195" t="s">
        <v>2335</v>
      </c>
      <c r="F195" t="s">
        <v>2336</v>
      </c>
      <c r="G195" t="s">
        <v>2023</v>
      </c>
      <c r="H195" t="s">
        <v>2021</v>
      </c>
    </row>
    <row r="196" spans="1:8" x14ac:dyDescent="0.15">
      <c r="A196" t="s">
        <v>2062</v>
      </c>
      <c r="B196" t="s">
        <v>2061</v>
      </c>
      <c r="C196" t="str">
        <f t="shared" si="6"/>
        <v>Chinchipe</v>
      </c>
      <c r="D196" t="str">
        <f t="shared" si="7"/>
        <v>EC1902</v>
      </c>
      <c r="E196" t="s">
        <v>2335</v>
      </c>
      <c r="F196" t="s">
        <v>2336</v>
      </c>
      <c r="G196" t="s">
        <v>2023</v>
      </c>
      <c r="H196" t="s">
        <v>2021</v>
      </c>
    </row>
    <row r="197" spans="1:8" x14ac:dyDescent="0.15">
      <c r="A197" t="s">
        <v>2060</v>
      </c>
      <c r="B197" t="s">
        <v>2059</v>
      </c>
      <c r="C197" t="str">
        <f t="shared" si="6"/>
        <v>Nangaritza</v>
      </c>
      <c r="D197" t="str">
        <f t="shared" si="7"/>
        <v>EC1903</v>
      </c>
      <c r="E197" t="s">
        <v>2335</v>
      </c>
      <c r="F197" t="s">
        <v>2336</v>
      </c>
      <c r="G197" t="s">
        <v>2023</v>
      </c>
      <c r="H197" t="s">
        <v>2021</v>
      </c>
    </row>
    <row r="198" spans="1:8" x14ac:dyDescent="0.15">
      <c r="A198" t="s">
        <v>2058</v>
      </c>
      <c r="B198" t="s">
        <v>2057</v>
      </c>
      <c r="C198" t="str">
        <f t="shared" si="6"/>
        <v>Yacuambi</v>
      </c>
      <c r="D198" t="str">
        <f t="shared" si="7"/>
        <v>EC1904</v>
      </c>
      <c r="E198" t="s">
        <v>2335</v>
      </c>
      <c r="F198" t="s">
        <v>2336</v>
      </c>
      <c r="G198" t="s">
        <v>2023</v>
      </c>
      <c r="H198" t="s">
        <v>2021</v>
      </c>
    </row>
    <row r="199" spans="1:8" x14ac:dyDescent="0.15">
      <c r="A199" t="s">
        <v>2056</v>
      </c>
      <c r="B199" t="s">
        <v>1753</v>
      </c>
      <c r="C199" t="str">
        <f t="shared" si="6"/>
        <v>Yantzaza</v>
      </c>
      <c r="D199" t="str">
        <f t="shared" si="7"/>
        <v>EC1905</v>
      </c>
      <c r="E199" t="s">
        <v>2335</v>
      </c>
      <c r="F199" t="s">
        <v>2336</v>
      </c>
      <c r="G199" t="s">
        <v>2023</v>
      </c>
      <c r="H199" t="s">
        <v>2021</v>
      </c>
    </row>
    <row r="200" spans="1:8" x14ac:dyDescent="0.15">
      <c r="A200" t="s">
        <v>2055</v>
      </c>
      <c r="B200" t="s">
        <v>1759</v>
      </c>
      <c r="C200" t="str">
        <f t="shared" si="6"/>
        <v>El Pangui</v>
      </c>
      <c r="D200" t="str">
        <f t="shared" si="7"/>
        <v>EC1906</v>
      </c>
      <c r="E200" t="s">
        <v>2335</v>
      </c>
      <c r="F200" t="s">
        <v>2336</v>
      </c>
      <c r="G200" t="s">
        <v>2023</v>
      </c>
      <c r="H200" t="s">
        <v>2021</v>
      </c>
    </row>
    <row r="201" spans="1:8" x14ac:dyDescent="0.15">
      <c r="A201" t="s">
        <v>2054</v>
      </c>
      <c r="B201" t="s">
        <v>2053</v>
      </c>
      <c r="C201" t="str">
        <f t="shared" si="6"/>
        <v>Centinela del Cóndor</v>
      </c>
      <c r="D201" t="str">
        <f t="shared" si="7"/>
        <v>EC1907</v>
      </c>
      <c r="E201" t="s">
        <v>2335</v>
      </c>
      <c r="F201" t="s">
        <v>2336</v>
      </c>
      <c r="G201" t="s">
        <v>2023</v>
      </c>
      <c r="H201" t="s">
        <v>2021</v>
      </c>
    </row>
    <row r="202" spans="1:8" x14ac:dyDescent="0.15">
      <c r="A202" t="s">
        <v>2052</v>
      </c>
      <c r="B202" t="s">
        <v>1773</v>
      </c>
      <c r="C202" t="str">
        <f t="shared" si="6"/>
        <v>Palanda</v>
      </c>
      <c r="D202" t="str">
        <f t="shared" si="7"/>
        <v>EC1908</v>
      </c>
      <c r="E202" t="s">
        <v>2335</v>
      </c>
      <c r="F202" t="s">
        <v>2336</v>
      </c>
      <c r="G202" t="s">
        <v>2023</v>
      </c>
      <c r="H202" t="s">
        <v>2021</v>
      </c>
    </row>
    <row r="203" spans="1:8" x14ac:dyDescent="0.15">
      <c r="A203" t="s">
        <v>2051</v>
      </c>
      <c r="B203" t="s">
        <v>1783</v>
      </c>
      <c r="C203" t="str">
        <f t="shared" si="6"/>
        <v>Paquisha</v>
      </c>
      <c r="D203" t="str">
        <f t="shared" si="7"/>
        <v>EC1909</v>
      </c>
      <c r="E203" t="s">
        <v>2335</v>
      </c>
      <c r="F203" t="s">
        <v>2336</v>
      </c>
      <c r="G203" t="s">
        <v>2023</v>
      </c>
      <c r="H203" t="s">
        <v>2021</v>
      </c>
    </row>
    <row r="204" spans="1:8" x14ac:dyDescent="0.15">
      <c r="A204" t="s">
        <v>2050</v>
      </c>
      <c r="B204" t="s">
        <v>89</v>
      </c>
      <c r="C204" t="str">
        <f t="shared" si="6"/>
        <v>San Cristóbal</v>
      </c>
      <c r="D204" t="str">
        <f t="shared" si="7"/>
        <v>EC2001</v>
      </c>
      <c r="E204" t="s">
        <v>2337</v>
      </c>
      <c r="F204" t="s">
        <v>2338</v>
      </c>
      <c r="G204" t="s">
        <v>2023</v>
      </c>
      <c r="H204" t="s">
        <v>2021</v>
      </c>
    </row>
    <row r="205" spans="1:8" x14ac:dyDescent="0.15">
      <c r="A205" t="s">
        <v>2049</v>
      </c>
      <c r="B205" t="s">
        <v>2048</v>
      </c>
      <c r="C205" t="str">
        <f t="shared" si="6"/>
        <v>Isabela</v>
      </c>
      <c r="D205" t="str">
        <f t="shared" si="7"/>
        <v>EC2002</v>
      </c>
      <c r="E205" t="s">
        <v>2337</v>
      </c>
      <c r="F205" t="s">
        <v>2338</v>
      </c>
      <c r="G205" t="s">
        <v>2023</v>
      </c>
      <c r="H205" t="s">
        <v>2021</v>
      </c>
    </row>
    <row r="206" spans="1:8" x14ac:dyDescent="0.15">
      <c r="A206" t="s">
        <v>2047</v>
      </c>
      <c r="B206" t="s">
        <v>2046</v>
      </c>
      <c r="C206" t="str">
        <f t="shared" si="6"/>
        <v>Santa Cruz</v>
      </c>
      <c r="D206" t="str">
        <f t="shared" si="7"/>
        <v>EC2003</v>
      </c>
      <c r="E206" t="s">
        <v>2337</v>
      </c>
      <c r="F206" t="s">
        <v>2338</v>
      </c>
      <c r="G206" t="s">
        <v>2023</v>
      </c>
      <c r="H206" t="s">
        <v>2021</v>
      </c>
    </row>
    <row r="207" spans="1:8" x14ac:dyDescent="0.15">
      <c r="A207" t="s">
        <v>2045</v>
      </c>
      <c r="B207" t="s">
        <v>2044</v>
      </c>
      <c r="C207" t="str">
        <f t="shared" si="6"/>
        <v>Lago Agrio</v>
      </c>
      <c r="D207" t="str">
        <f t="shared" si="7"/>
        <v>EC2101</v>
      </c>
      <c r="E207" t="s">
        <v>2339</v>
      </c>
      <c r="F207" t="s">
        <v>2340</v>
      </c>
      <c r="G207" t="s">
        <v>2023</v>
      </c>
      <c r="H207" t="s">
        <v>2021</v>
      </c>
    </row>
    <row r="208" spans="1:8" x14ac:dyDescent="0.15">
      <c r="A208" t="s">
        <v>2043</v>
      </c>
      <c r="B208" t="s">
        <v>1818</v>
      </c>
      <c r="C208" t="str">
        <f t="shared" si="6"/>
        <v>Gonzalo Pizarro</v>
      </c>
      <c r="D208" t="str">
        <f t="shared" si="7"/>
        <v>EC2102</v>
      </c>
      <c r="E208" t="s">
        <v>2339</v>
      </c>
      <c r="F208" t="s">
        <v>2340</v>
      </c>
      <c r="G208" t="s">
        <v>2023</v>
      </c>
      <c r="H208" t="s">
        <v>2021</v>
      </c>
    </row>
    <row r="209" spans="1:8" x14ac:dyDescent="0.15">
      <c r="A209" t="s">
        <v>2042</v>
      </c>
      <c r="B209" t="s">
        <v>2041</v>
      </c>
      <c r="C209" t="str">
        <f t="shared" si="6"/>
        <v>Putumayo</v>
      </c>
      <c r="D209" t="str">
        <f t="shared" si="7"/>
        <v>EC2103</v>
      </c>
      <c r="E209" t="s">
        <v>2339</v>
      </c>
      <c r="F209" t="s">
        <v>2340</v>
      </c>
      <c r="G209" t="s">
        <v>2023</v>
      </c>
      <c r="H209" t="s">
        <v>2021</v>
      </c>
    </row>
    <row r="210" spans="1:8" x14ac:dyDescent="0.15">
      <c r="A210" t="s">
        <v>2040</v>
      </c>
      <c r="B210" t="s">
        <v>1837</v>
      </c>
      <c r="C210" t="str">
        <f t="shared" si="6"/>
        <v>Shushufindi</v>
      </c>
      <c r="D210" t="str">
        <f t="shared" si="7"/>
        <v>EC2104</v>
      </c>
      <c r="E210" t="s">
        <v>2339</v>
      </c>
      <c r="F210" t="s">
        <v>2340</v>
      </c>
      <c r="G210" t="s">
        <v>2023</v>
      </c>
      <c r="H210" t="s">
        <v>2021</v>
      </c>
    </row>
    <row r="211" spans="1:8" x14ac:dyDescent="0.15">
      <c r="A211" t="s">
        <v>2039</v>
      </c>
      <c r="B211" t="s">
        <v>2015</v>
      </c>
      <c r="C211" t="str">
        <f t="shared" si="6"/>
        <v>Sucumbíos</v>
      </c>
      <c r="D211" t="str">
        <f t="shared" si="7"/>
        <v>EC2105</v>
      </c>
      <c r="E211" t="s">
        <v>2339</v>
      </c>
      <c r="F211" t="s">
        <v>2340</v>
      </c>
      <c r="G211" t="s">
        <v>2023</v>
      </c>
      <c r="H211" t="s">
        <v>2021</v>
      </c>
    </row>
    <row r="212" spans="1:8" x14ac:dyDescent="0.15">
      <c r="A212" t="s">
        <v>2038</v>
      </c>
      <c r="B212" t="s">
        <v>2037</v>
      </c>
      <c r="C212" t="str">
        <f t="shared" si="6"/>
        <v>Cascales</v>
      </c>
      <c r="D212" t="str">
        <f t="shared" si="7"/>
        <v>EC2106</v>
      </c>
      <c r="E212" t="s">
        <v>2339</v>
      </c>
      <c r="F212" t="s">
        <v>2340</v>
      </c>
      <c r="G212" t="s">
        <v>2023</v>
      </c>
      <c r="H212" t="s">
        <v>2021</v>
      </c>
    </row>
    <row r="213" spans="1:8" x14ac:dyDescent="0.15">
      <c r="A213" t="s">
        <v>2036</v>
      </c>
      <c r="B213" t="s">
        <v>1866</v>
      </c>
      <c r="C213" t="str">
        <f t="shared" si="6"/>
        <v>Cuyabeno</v>
      </c>
      <c r="D213" t="str">
        <f t="shared" si="7"/>
        <v>EC2107</v>
      </c>
      <c r="E213" t="s">
        <v>2339</v>
      </c>
      <c r="F213" t="s">
        <v>2340</v>
      </c>
      <c r="G213" t="s">
        <v>2023</v>
      </c>
      <c r="H213" t="s">
        <v>2021</v>
      </c>
    </row>
    <row r="214" spans="1:8" x14ac:dyDescent="0.15">
      <c r="A214" t="s">
        <v>2035</v>
      </c>
      <c r="B214" t="s">
        <v>2034</v>
      </c>
      <c r="C214" t="str">
        <f t="shared" si="6"/>
        <v>Francisco de Orellana</v>
      </c>
      <c r="D214" t="str">
        <f t="shared" si="7"/>
        <v>EC2201</v>
      </c>
      <c r="E214" t="s">
        <v>2341</v>
      </c>
      <c r="F214" t="s">
        <v>2342</v>
      </c>
      <c r="G214" t="s">
        <v>2023</v>
      </c>
      <c r="H214" t="s">
        <v>2021</v>
      </c>
    </row>
    <row r="215" spans="1:8" x14ac:dyDescent="0.15">
      <c r="A215" t="s">
        <v>2033</v>
      </c>
      <c r="B215" t="s">
        <v>2032</v>
      </c>
      <c r="C215" t="str">
        <f t="shared" si="6"/>
        <v>Aguarico</v>
      </c>
      <c r="D215" t="str">
        <f t="shared" si="7"/>
        <v>EC2202</v>
      </c>
      <c r="E215" t="s">
        <v>2341</v>
      </c>
      <c r="F215" t="s">
        <v>2342</v>
      </c>
      <c r="G215" t="s">
        <v>2023</v>
      </c>
      <c r="H215" t="s">
        <v>2021</v>
      </c>
    </row>
    <row r="216" spans="1:8" x14ac:dyDescent="0.15">
      <c r="A216" t="s">
        <v>2031</v>
      </c>
      <c r="B216" t="s">
        <v>1903</v>
      </c>
      <c r="C216" t="str">
        <f t="shared" si="6"/>
        <v>La Joya de los Sachas</v>
      </c>
      <c r="D216" t="str">
        <f t="shared" si="7"/>
        <v>EC2203</v>
      </c>
      <c r="E216" t="s">
        <v>2341</v>
      </c>
      <c r="F216" t="s">
        <v>2342</v>
      </c>
      <c r="G216" t="s">
        <v>2023</v>
      </c>
      <c r="H216" t="s">
        <v>2021</v>
      </c>
    </row>
    <row r="217" spans="1:8" x14ac:dyDescent="0.15">
      <c r="A217" t="s">
        <v>2030</v>
      </c>
      <c r="B217" t="s">
        <v>1919</v>
      </c>
      <c r="C217" t="str">
        <f t="shared" si="6"/>
        <v>Loreto</v>
      </c>
      <c r="D217" t="str">
        <f t="shared" si="7"/>
        <v>EC2204</v>
      </c>
      <c r="E217" t="s">
        <v>2341</v>
      </c>
      <c r="F217" t="s">
        <v>2342</v>
      </c>
      <c r="G217" t="s">
        <v>2023</v>
      </c>
      <c r="H217" t="s">
        <v>2021</v>
      </c>
    </row>
    <row r="218" spans="1:8" x14ac:dyDescent="0.15">
      <c r="A218" t="s">
        <v>2029</v>
      </c>
      <c r="B218" t="s">
        <v>2028</v>
      </c>
      <c r="C218" t="str">
        <f t="shared" si="6"/>
        <v>Santo Domingo</v>
      </c>
      <c r="D218" t="str">
        <f t="shared" si="7"/>
        <v>EC2301</v>
      </c>
      <c r="E218" t="s">
        <v>2343</v>
      </c>
      <c r="F218" t="s">
        <v>2344</v>
      </c>
      <c r="G218" t="s">
        <v>2023</v>
      </c>
      <c r="H218" t="s">
        <v>2021</v>
      </c>
    </row>
    <row r="219" spans="1:8" x14ac:dyDescent="0.15">
      <c r="A219" t="s">
        <v>2027</v>
      </c>
      <c r="B219" t="s">
        <v>1947</v>
      </c>
      <c r="C219" t="str">
        <f t="shared" si="6"/>
        <v>La Concordia</v>
      </c>
      <c r="D219" t="str">
        <f t="shared" si="7"/>
        <v>EC2302</v>
      </c>
      <c r="E219" t="s">
        <v>2343</v>
      </c>
      <c r="F219" t="s">
        <v>2344</v>
      </c>
      <c r="G219" t="s">
        <v>2023</v>
      </c>
      <c r="H219" t="s">
        <v>2021</v>
      </c>
    </row>
    <row r="220" spans="1:8" x14ac:dyDescent="0.15">
      <c r="A220" t="s">
        <v>2026</v>
      </c>
      <c r="B220" t="s">
        <v>1833</v>
      </c>
      <c r="C220" t="str">
        <f t="shared" si="6"/>
        <v>Santa Elena</v>
      </c>
      <c r="D220" t="str">
        <f t="shared" si="7"/>
        <v>EC2401</v>
      </c>
      <c r="E220" t="s">
        <v>2345</v>
      </c>
      <c r="F220" t="s">
        <v>2346</v>
      </c>
      <c r="G220" t="s">
        <v>2023</v>
      </c>
      <c r="H220" t="s">
        <v>2021</v>
      </c>
    </row>
    <row r="221" spans="1:8" x14ac:dyDescent="0.15">
      <c r="A221" t="s">
        <v>2025</v>
      </c>
      <c r="B221" t="s">
        <v>307</v>
      </c>
      <c r="C221" t="str">
        <f t="shared" si="6"/>
        <v>La Libertad</v>
      </c>
      <c r="D221" t="str">
        <f t="shared" si="7"/>
        <v>EC2402</v>
      </c>
      <c r="E221" t="s">
        <v>2345</v>
      </c>
      <c r="F221" t="s">
        <v>2346</v>
      </c>
      <c r="G221" t="s">
        <v>2023</v>
      </c>
      <c r="H221" t="s">
        <v>2021</v>
      </c>
    </row>
    <row r="222" spans="1:8" x14ac:dyDescent="0.15">
      <c r="A222" t="s">
        <v>2024</v>
      </c>
      <c r="B222" t="s">
        <v>162</v>
      </c>
      <c r="C222" t="str">
        <f t="shared" si="6"/>
        <v>Salinas</v>
      </c>
      <c r="D222" t="str">
        <f t="shared" si="7"/>
        <v>EC2403</v>
      </c>
      <c r="E222" t="s">
        <v>2345</v>
      </c>
      <c r="F222" t="s">
        <v>2346</v>
      </c>
      <c r="G222" t="s">
        <v>2023</v>
      </c>
      <c r="H222" t="s">
        <v>2021</v>
      </c>
    </row>
    <row r="223" spans="1:8" x14ac:dyDescent="0.15">
      <c r="A223" t="s">
        <v>1971</v>
      </c>
      <c r="B223" t="s">
        <v>1971</v>
      </c>
      <c r="C223" t="str">
        <f t="shared" si="6"/>
        <v>Isla</v>
      </c>
      <c r="D223" t="str">
        <f t="shared" si="7"/>
        <v>ECISLA</v>
      </c>
      <c r="E223" t="s">
        <v>2349</v>
      </c>
      <c r="F223" t="s">
        <v>2347</v>
      </c>
      <c r="G223" t="s">
        <v>2023</v>
      </c>
      <c r="H223" t="s">
        <v>2021</v>
      </c>
    </row>
    <row r="224" spans="1:8" x14ac:dyDescent="0.15">
      <c r="A224" t="s">
        <v>1972</v>
      </c>
      <c r="B224" t="s">
        <v>1973</v>
      </c>
      <c r="C224" t="str">
        <f t="shared" si="6"/>
        <v>Zona en Estudio: Juval (Cañar-Chimborazo)</v>
      </c>
      <c r="D224" t="str">
        <f t="shared" si="7"/>
        <v>ECNO APLICA</v>
      </c>
      <c r="E224" t="s">
        <v>2350</v>
      </c>
      <c r="F224" t="s">
        <v>2348</v>
      </c>
      <c r="G224" t="s">
        <v>2023</v>
      </c>
      <c r="H224" t="s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5"/>
  <sheetViews>
    <sheetView topLeftCell="B1" workbookViewId="0">
      <pane ySplit="1" topLeftCell="A2" activePane="bottomLeft" state="frozen"/>
      <selection pane="bottomLeft" activeCell="B1" sqref="B1"/>
    </sheetView>
  </sheetViews>
  <sheetFormatPr baseColWidth="10" defaultColWidth="11.5" defaultRowHeight="13" x14ac:dyDescent="0.15"/>
  <cols>
    <col min="1" max="1" width="15"/>
    <col min="2" max="2" width="46.83203125" bestFit="1" customWidth="1"/>
    <col min="3" max="4" width="46.83203125" customWidth="1"/>
    <col min="5" max="5" width="15"/>
    <col min="7" max="8" width="15"/>
    <col min="10" max="1021" width="15"/>
  </cols>
  <sheetData>
    <row r="1" spans="1:11" x14ac:dyDescent="0.15">
      <c r="A1" t="s">
        <v>0</v>
      </c>
      <c r="B1" t="s">
        <v>1</v>
      </c>
      <c r="C1" t="s">
        <v>2297</v>
      </c>
      <c r="D1" t="s">
        <v>2296</v>
      </c>
      <c r="E1" t="s">
        <v>1974</v>
      </c>
      <c r="F1" t="s">
        <v>2298</v>
      </c>
      <c r="G1" t="s">
        <v>1975</v>
      </c>
      <c r="H1" t="s">
        <v>1976</v>
      </c>
      <c r="I1" t="s">
        <v>2295</v>
      </c>
      <c r="J1" t="s">
        <v>1977</v>
      </c>
      <c r="K1" t="s">
        <v>2022</v>
      </c>
    </row>
    <row r="2" spans="1:11" ht="16" x14ac:dyDescent="0.2">
      <c r="A2" t="s">
        <v>2</v>
      </c>
      <c r="B2" t="s">
        <v>3</v>
      </c>
      <c r="C2" t="str">
        <f>PROPER(B2)</f>
        <v>Cuenca</v>
      </c>
      <c r="D2" t="str">
        <f t="shared" ref="D2:D65" si="0">SUBSTITUTE(SUBSTITUTE(SUBSTITUTE(SUBSTITUTE(SUBSTITUTE(SUBSTITUTE(PROPER($C2)," De "," de ")," La "," la ")," Del "," del ")," Los "," los ")," Y "," y "),"En","en")</f>
        <v>Cuenca</v>
      </c>
      <c r="E2" t="str">
        <f>"EC"&amp;A2</f>
        <v>EC010150</v>
      </c>
      <c r="F2" t="str">
        <f>_xlfn.XLOOKUP(G2,ecu_admgz_adm2!D:D,ecu_admgz_adm2!C:C)</f>
        <v>Cuenca</v>
      </c>
      <c r="G2" t="str">
        <f>LEFT(E2,6)</f>
        <v>EC0101</v>
      </c>
      <c r="H2" t="str">
        <f>LEFT(G2,4)</f>
        <v>EC01</v>
      </c>
      <c r="I2" t="str">
        <f>_xlfn.XLOOKUP(H2,eci_admgz_adm1!D:D,eci_admgz_adm1!C:C)</f>
        <v>Azuay</v>
      </c>
      <c r="J2" t="s">
        <v>2021</v>
      </c>
      <c r="K2" s="1" t="s">
        <v>2023</v>
      </c>
    </row>
    <row r="3" spans="1:11" ht="16" x14ac:dyDescent="0.2">
      <c r="A3" t="s">
        <v>4</v>
      </c>
      <c r="B3" t="s">
        <v>5</v>
      </c>
      <c r="C3" t="str">
        <f t="shared" ref="C3:C66" si="1">PROPER(B3)</f>
        <v>Baños</v>
      </c>
      <c r="D3" t="str">
        <f t="shared" si="0"/>
        <v>Baños</v>
      </c>
      <c r="E3" t="str">
        <f t="shared" ref="E3:E66" si="2">"EC"&amp;A3</f>
        <v>EC010151</v>
      </c>
      <c r="F3" t="str">
        <f>_xlfn.XLOOKUP(G3,ecu_admgz_adm2!D:D,ecu_admgz_adm2!C:C)</f>
        <v>Cuenca</v>
      </c>
      <c r="G3" t="str">
        <f t="shared" ref="G3:G66" si="3">LEFT(E3,6)</f>
        <v>EC0101</v>
      </c>
      <c r="H3" t="str">
        <f t="shared" ref="H3:H66" si="4">LEFT(G3,4)</f>
        <v>EC01</v>
      </c>
      <c r="I3" t="str">
        <f>_xlfn.XLOOKUP(H3,eci_admgz_adm1!D:D,eci_admgz_adm1!C:C)</f>
        <v>Azuay</v>
      </c>
      <c r="J3" t="s">
        <v>2021</v>
      </c>
      <c r="K3" s="1" t="s">
        <v>2023</v>
      </c>
    </row>
    <row r="4" spans="1:11" ht="16" x14ac:dyDescent="0.2">
      <c r="A4" t="s">
        <v>6</v>
      </c>
      <c r="B4" t="s">
        <v>7</v>
      </c>
      <c r="C4" t="str">
        <f t="shared" si="1"/>
        <v>Cumbe</v>
      </c>
      <c r="D4" t="str">
        <f t="shared" si="0"/>
        <v>Cumbe</v>
      </c>
      <c r="E4" t="str">
        <f t="shared" si="2"/>
        <v>EC010152</v>
      </c>
      <c r="F4" t="str">
        <f>_xlfn.XLOOKUP(G4,ecu_admgz_adm2!D:D,ecu_admgz_adm2!C:C)</f>
        <v>Cuenca</v>
      </c>
      <c r="G4" t="str">
        <f t="shared" si="3"/>
        <v>EC0101</v>
      </c>
      <c r="H4" t="str">
        <f t="shared" si="4"/>
        <v>EC01</v>
      </c>
      <c r="I4" t="str">
        <f>_xlfn.XLOOKUP(H4,eci_admgz_adm1!D:D,eci_admgz_adm1!C:C)</f>
        <v>Azuay</v>
      </c>
      <c r="J4" t="s">
        <v>2021</v>
      </c>
      <c r="K4" s="1" t="s">
        <v>2023</v>
      </c>
    </row>
    <row r="5" spans="1:11" ht="16" x14ac:dyDescent="0.2">
      <c r="A5" t="s">
        <v>8</v>
      </c>
      <c r="B5" t="s">
        <v>9</v>
      </c>
      <c r="C5" t="str">
        <f t="shared" si="1"/>
        <v>Chaucha</v>
      </c>
      <c r="D5" t="str">
        <f t="shared" si="0"/>
        <v>Chaucha</v>
      </c>
      <c r="E5" t="str">
        <f t="shared" si="2"/>
        <v>EC010153</v>
      </c>
      <c r="F5" t="str">
        <f>_xlfn.XLOOKUP(G5,ecu_admgz_adm2!D:D,ecu_admgz_adm2!C:C)</f>
        <v>Cuenca</v>
      </c>
      <c r="G5" t="str">
        <f t="shared" si="3"/>
        <v>EC0101</v>
      </c>
      <c r="H5" t="str">
        <f t="shared" si="4"/>
        <v>EC01</v>
      </c>
      <c r="I5" t="str">
        <f>_xlfn.XLOOKUP(H5,eci_admgz_adm1!D:D,eci_admgz_adm1!C:C)</f>
        <v>Azuay</v>
      </c>
      <c r="J5" t="s">
        <v>2021</v>
      </c>
      <c r="K5" s="1" t="s">
        <v>2023</v>
      </c>
    </row>
    <row r="6" spans="1:11" ht="16" x14ac:dyDescent="0.2">
      <c r="A6" t="s">
        <v>10</v>
      </c>
      <c r="B6" t="s">
        <v>11</v>
      </c>
      <c r="C6" t="str">
        <f t="shared" si="1"/>
        <v>Checa</v>
      </c>
      <c r="D6" t="str">
        <f t="shared" si="0"/>
        <v>Checa</v>
      </c>
      <c r="E6" t="str">
        <f t="shared" si="2"/>
        <v>EC010154</v>
      </c>
      <c r="F6" t="str">
        <f>_xlfn.XLOOKUP(G6,ecu_admgz_adm2!D:D,ecu_admgz_adm2!C:C)</f>
        <v>Cuenca</v>
      </c>
      <c r="G6" t="str">
        <f t="shared" si="3"/>
        <v>EC0101</v>
      </c>
      <c r="H6" t="str">
        <f t="shared" si="4"/>
        <v>EC01</v>
      </c>
      <c r="I6" t="str">
        <f>_xlfn.XLOOKUP(H6,eci_admgz_adm1!D:D,eci_admgz_adm1!C:C)</f>
        <v>Azuay</v>
      </c>
      <c r="J6" t="s">
        <v>2021</v>
      </c>
      <c r="K6" s="1" t="s">
        <v>2023</v>
      </c>
    </row>
    <row r="7" spans="1:11" ht="16" x14ac:dyDescent="0.2">
      <c r="A7" t="s">
        <v>12</v>
      </c>
      <c r="B7" t="s">
        <v>13</v>
      </c>
      <c r="C7" t="str">
        <f t="shared" si="1"/>
        <v>Chiquintad</v>
      </c>
      <c r="D7" t="str">
        <f t="shared" si="0"/>
        <v>Chiquintad</v>
      </c>
      <c r="E7" t="str">
        <f t="shared" si="2"/>
        <v>EC010155</v>
      </c>
      <c r="F7" t="str">
        <f>_xlfn.XLOOKUP(G7,ecu_admgz_adm2!D:D,ecu_admgz_adm2!C:C)</f>
        <v>Cuenca</v>
      </c>
      <c r="G7" t="str">
        <f t="shared" si="3"/>
        <v>EC0101</v>
      </c>
      <c r="H7" t="str">
        <f t="shared" si="4"/>
        <v>EC01</v>
      </c>
      <c r="I7" t="str">
        <f>_xlfn.XLOOKUP(H7,eci_admgz_adm1!D:D,eci_admgz_adm1!C:C)</f>
        <v>Azuay</v>
      </c>
      <c r="J7" t="s">
        <v>2021</v>
      </c>
      <c r="K7" s="1" t="s">
        <v>2023</v>
      </c>
    </row>
    <row r="8" spans="1:11" ht="16" x14ac:dyDescent="0.2">
      <c r="A8" t="s">
        <v>14</v>
      </c>
      <c r="B8" t="s">
        <v>15</v>
      </c>
      <c r="C8" t="str">
        <f t="shared" si="1"/>
        <v>Llacao</v>
      </c>
      <c r="D8" t="str">
        <f t="shared" si="0"/>
        <v>Llacao</v>
      </c>
      <c r="E8" t="str">
        <f t="shared" si="2"/>
        <v>EC010156</v>
      </c>
      <c r="F8" t="str">
        <f>_xlfn.XLOOKUP(G8,ecu_admgz_adm2!D:D,ecu_admgz_adm2!C:C)</f>
        <v>Cuenca</v>
      </c>
      <c r="G8" t="str">
        <f t="shared" si="3"/>
        <v>EC0101</v>
      </c>
      <c r="H8" t="str">
        <f t="shared" si="4"/>
        <v>EC01</v>
      </c>
      <c r="I8" t="str">
        <f>_xlfn.XLOOKUP(H8,eci_admgz_adm1!D:D,eci_admgz_adm1!C:C)</f>
        <v>Azuay</v>
      </c>
      <c r="J8" t="s">
        <v>2021</v>
      </c>
      <c r="K8" s="1" t="s">
        <v>2023</v>
      </c>
    </row>
    <row r="9" spans="1:11" ht="16" x14ac:dyDescent="0.2">
      <c r="A9" t="s">
        <v>16</v>
      </c>
      <c r="B9" t="s">
        <v>17</v>
      </c>
      <c r="C9" t="str">
        <f t="shared" si="1"/>
        <v>Molleturo</v>
      </c>
      <c r="D9" t="str">
        <f t="shared" si="0"/>
        <v>Molleturo</v>
      </c>
      <c r="E9" t="str">
        <f t="shared" si="2"/>
        <v>EC010157</v>
      </c>
      <c r="F9" t="str">
        <f>_xlfn.XLOOKUP(G9,ecu_admgz_adm2!D:D,ecu_admgz_adm2!C:C)</f>
        <v>Cuenca</v>
      </c>
      <c r="G9" t="str">
        <f t="shared" si="3"/>
        <v>EC0101</v>
      </c>
      <c r="H9" t="str">
        <f t="shared" si="4"/>
        <v>EC01</v>
      </c>
      <c r="I9" t="str">
        <f>_xlfn.XLOOKUP(H9,eci_admgz_adm1!D:D,eci_admgz_adm1!C:C)</f>
        <v>Azuay</v>
      </c>
      <c r="J9" t="s">
        <v>2021</v>
      </c>
      <c r="K9" s="1" t="s">
        <v>2023</v>
      </c>
    </row>
    <row r="10" spans="1:11" ht="16" x14ac:dyDescent="0.2">
      <c r="A10" t="s">
        <v>18</v>
      </c>
      <c r="B10" t="s">
        <v>19</v>
      </c>
      <c r="C10" t="str">
        <f t="shared" si="1"/>
        <v>Nulti</v>
      </c>
      <c r="D10" t="str">
        <f t="shared" si="0"/>
        <v>Nulti</v>
      </c>
      <c r="E10" t="str">
        <f t="shared" si="2"/>
        <v>EC010158</v>
      </c>
      <c r="F10" t="str">
        <f>_xlfn.XLOOKUP(G10,ecu_admgz_adm2!D:D,ecu_admgz_adm2!C:C)</f>
        <v>Cuenca</v>
      </c>
      <c r="G10" t="str">
        <f t="shared" si="3"/>
        <v>EC0101</v>
      </c>
      <c r="H10" t="str">
        <f t="shared" si="4"/>
        <v>EC01</v>
      </c>
      <c r="I10" t="str">
        <f>_xlfn.XLOOKUP(H10,eci_admgz_adm1!D:D,eci_admgz_adm1!C:C)</f>
        <v>Azuay</v>
      </c>
      <c r="J10" t="s">
        <v>2021</v>
      </c>
      <c r="K10" s="1" t="s">
        <v>2023</v>
      </c>
    </row>
    <row r="11" spans="1:11" ht="16" x14ac:dyDescent="0.2">
      <c r="A11" t="s">
        <v>20</v>
      </c>
      <c r="B11" t="s">
        <v>21</v>
      </c>
      <c r="C11" t="str">
        <f t="shared" si="1"/>
        <v>Octavio Cordero Palacios</v>
      </c>
      <c r="D11" t="str">
        <f t="shared" si="0"/>
        <v>Octavio Cordero Palacios</v>
      </c>
      <c r="E11" t="str">
        <f t="shared" si="2"/>
        <v>EC010159</v>
      </c>
      <c r="F11" t="str">
        <f>_xlfn.XLOOKUP(G11,ecu_admgz_adm2!D:D,ecu_admgz_adm2!C:C)</f>
        <v>Cuenca</v>
      </c>
      <c r="G11" t="str">
        <f t="shared" si="3"/>
        <v>EC0101</v>
      </c>
      <c r="H11" t="str">
        <f t="shared" si="4"/>
        <v>EC01</v>
      </c>
      <c r="I11" t="str">
        <f>_xlfn.XLOOKUP(H11,eci_admgz_adm1!D:D,eci_admgz_adm1!C:C)</f>
        <v>Azuay</v>
      </c>
      <c r="J11" t="s">
        <v>2021</v>
      </c>
      <c r="K11" s="1" t="s">
        <v>2023</v>
      </c>
    </row>
    <row r="12" spans="1:11" ht="16" x14ac:dyDescent="0.2">
      <c r="A12" t="s">
        <v>22</v>
      </c>
      <c r="B12" t="s">
        <v>23</v>
      </c>
      <c r="C12" t="str">
        <f t="shared" si="1"/>
        <v>Paccha</v>
      </c>
      <c r="D12" t="str">
        <f t="shared" si="0"/>
        <v>Paccha</v>
      </c>
      <c r="E12" t="str">
        <f t="shared" si="2"/>
        <v>EC010160</v>
      </c>
      <c r="F12" t="str">
        <f>_xlfn.XLOOKUP(G12,ecu_admgz_adm2!D:D,ecu_admgz_adm2!C:C)</f>
        <v>Cuenca</v>
      </c>
      <c r="G12" t="str">
        <f t="shared" si="3"/>
        <v>EC0101</v>
      </c>
      <c r="H12" t="str">
        <f t="shared" si="4"/>
        <v>EC01</v>
      </c>
      <c r="I12" t="str">
        <f>_xlfn.XLOOKUP(H12,eci_admgz_adm1!D:D,eci_admgz_adm1!C:C)</f>
        <v>Azuay</v>
      </c>
      <c r="J12" t="s">
        <v>2021</v>
      </c>
      <c r="K12" s="1" t="s">
        <v>2023</v>
      </c>
    </row>
    <row r="13" spans="1:11" ht="16" x14ac:dyDescent="0.2">
      <c r="A13" t="s">
        <v>24</v>
      </c>
      <c r="B13" t="s">
        <v>25</v>
      </c>
      <c r="C13" t="str">
        <f t="shared" si="1"/>
        <v>Quingeo</v>
      </c>
      <c r="D13" t="str">
        <f t="shared" si="0"/>
        <v>Quingeo</v>
      </c>
      <c r="E13" t="str">
        <f t="shared" si="2"/>
        <v>EC010161</v>
      </c>
      <c r="F13" t="str">
        <f>_xlfn.XLOOKUP(G13,ecu_admgz_adm2!D:D,ecu_admgz_adm2!C:C)</f>
        <v>Cuenca</v>
      </c>
      <c r="G13" t="str">
        <f t="shared" si="3"/>
        <v>EC0101</v>
      </c>
      <c r="H13" t="str">
        <f t="shared" si="4"/>
        <v>EC01</v>
      </c>
      <c r="I13" t="str">
        <f>_xlfn.XLOOKUP(H13,eci_admgz_adm1!D:D,eci_admgz_adm1!C:C)</f>
        <v>Azuay</v>
      </c>
      <c r="J13" t="s">
        <v>2021</v>
      </c>
      <c r="K13" s="1" t="s">
        <v>2023</v>
      </c>
    </row>
    <row r="14" spans="1:11" ht="16" x14ac:dyDescent="0.2">
      <c r="A14" t="s">
        <v>26</v>
      </c>
      <c r="B14" t="s">
        <v>27</v>
      </c>
      <c r="C14" t="str">
        <f t="shared" si="1"/>
        <v>Ricaurte</v>
      </c>
      <c r="D14" t="str">
        <f t="shared" si="0"/>
        <v>Ricaurte</v>
      </c>
      <c r="E14" t="str">
        <f t="shared" si="2"/>
        <v>EC010162</v>
      </c>
      <c r="F14" t="str">
        <f>_xlfn.XLOOKUP(G14,ecu_admgz_adm2!D:D,ecu_admgz_adm2!C:C)</f>
        <v>Cuenca</v>
      </c>
      <c r="G14" t="str">
        <f t="shared" si="3"/>
        <v>EC0101</v>
      </c>
      <c r="H14" t="str">
        <f t="shared" si="4"/>
        <v>EC01</v>
      </c>
      <c r="I14" t="str">
        <f>_xlfn.XLOOKUP(H14,eci_admgz_adm1!D:D,eci_admgz_adm1!C:C)</f>
        <v>Azuay</v>
      </c>
      <c r="J14" t="s">
        <v>2021</v>
      </c>
      <c r="K14" s="1" t="s">
        <v>2023</v>
      </c>
    </row>
    <row r="15" spans="1:11" ht="16" x14ac:dyDescent="0.2">
      <c r="A15" t="s">
        <v>28</v>
      </c>
      <c r="B15" t="s">
        <v>29</v>
      </c>
      <c r="C15" t="str">
        <f t="shared" si="1"/>
        <v>San Joaquín</v>
      </c>
      <c r="D15" t="str">
        <f t="shared" si="0"/>
        <v>San Joaquín</v>
      </c>
      <c r="E15" t="str">
        <f t="shared" si="2"/>
        <v>EC010163</v>
      </c>
      <c r="F15" t="str">
        <f>_xlfn.XLOOKUP(G15,ecu_admgz_adm2!D:D,ecu_admgz_adm2!C:C)</f>
        <v>Cuenca</v>
      </c>
      <c r="G15" t="str">
        <f t="shared" si="3"/>
        <v>EC0101</v>
      </c>
      <c r="H15" t="str">
        <f t="shared" si="4"/>
        <v>EC01</v>
      </c>
      <c r="I15" t="str">
        <f>_xlfn.XLOOKUP(H15,eci_admgz_adm1!D:D,eci_admgz_adm1!C:C)</f>
        <v>Azuay</v>
      </c>
      <c r="J15" t="s">
        <v>2021</v>
      </c>
      <c r="K15" s="1" t="s">
        <v>2023</v>
      </c>
    </row>
    <row r="16" spans="1:11" ht="16" x14ac:dyDescent="0.2">
      <c r="A16" t="s">
        <v>30</v>
      </c>
      <c r="B16" t="s">
        <v>31</v>
      </c>
      <c r="C16" t="str">
        <f t="shared" si="1"/>
        <v>Santa Ana</v>
      </c>
      <c r="D16" t="str">
        <f t="shared" si="0"/>
        <v>Santa Ana</v>
      </c>
      <c r="E16" t="str">
        <f t="shared" si="2"/>
        <v>EC010164</v>
      </c>
      <c r="F16" t="str">
        <f>_xlfn.XLOOKUP(G16,ecu_admgz_adm2!D:D,ecu_admgz_adm2!C:C)</f>
        <v>Cuenca</v>
      </c>
      <c r="G16" t="str">
        <f t="shared" si="3"/>
        <v>EC0101</v>
      </c>
      <c r="H16" t="str">
        <f t="shared" si="4"/>
        <v>EC01</v>
      </c>
      <c r="I16" t="str">
        <f>_xlfn.XLOOKUP(H16,eci_admgz_adm1!D:D,eci_admgz_adm1!C:C)</f>
        <v>Azuay</v>
      </c>
      <c r="J16" t="s">
        <v>2021</v>
      </c>
      <c r="K16" s="1" t="s">
        <v>2023</v>
      </c>
    </row>
    <row r="17" spans="1:11" ht="16" x14ac:dyDescent="0.2">
      <c r="A17" t="s">
        <v>32</v>
      </c>
      <c r="B17" t="s">
        <v>33</v>
      </c>
      <c r="C17" t="str">
        <f t="shared" si="1"/>
        <v>Sayausí</v>
      </c>
      <c r="D17" t="str">
        <f t="shared" si="0"/>
        <v>Sayausí</v>
      </c>
      <c r="E17" t="str">
        <f t="shared" si="2"/>
        <v>EC010165</v>
      </c>
      <c r="F17" t="str">
        <f>_xlfn.XLOOKUP(G17,ecu_admgz_adm2!D:D,ecu_admgz_adm2!C:C)</f>
        <v>Cuenca</v>
      </c>
      <c r="G17" t="str">
        <f t="shared" si="3"/>
        <v>EC0101</v>
      </c>
      <c r="H17" t="str">
        <f t="shared" si="4"/>
        <v>EC01</v>
      </c>
      <c r="I17" t="str">
        <f>_xlfn.XLOOKUP(H17,eci_admgz_adm1!D:D,eci_admgz_adm1!C:C)</f>
        <v>Azuay</v>
      </c>
      <c r="J17" t="s">
        <v>2021</v>
      </c>
      <c r="K17" s="1" t="s">
        <v>2023</v>
      </c>
    </row>
    <row r="18" spans="1:11" ht="16" x14ac:dyDescent="0.2">
      <c r="A18" t="s">
        <v>34</v>
      </c>
      <c r="B18" t="s">
        <v>35</v>
      </c>
      <c r="C18" t="str">
        <f t="shared" si="1"/>
        <v>Sidcay</v>
      </c>
      <c r="D18" t="str">
        <f t="shared" si="0"/>
        <v>Sidcay</v>
      </c>
      <c r="E18" t="str">
        <f t="shared" si="2"/>
        <v>EC010166</v>
      </c>
      <c r="F18" t="str">
        <f>_xlfn.XLOOKUP(G18,ecu_admgz_adm2!D:D,ecu_admgz_adm2!C:C)</f>
        <v>Cuenca</v>
      </c>
      <c r="G18" t="str">
        <f t="shared" si="3"/>
        <v>EC0101</v>
      </c>
      <c r="H18" t="str">
        <f t="shared" si="4"/>
        <v>EC01</v>
      </c>
      <c r="I18" t="str">
        <f>_xlfn.XLOOKUP(H18,eci_admgz_adm1!D:D,eci_admgz_adm1!C:C)</f>
        <v>Azuay</v>
      </c>
      <c r="J18" t="s">
        <v>2021</v>
      </c>
      <c r="K18" s="1" t="s">
        <v>2023</v>
      </c>
    </row>
    <row r="19" spans="1:11" ht="16" x14ac:dyDescent="0.2">
      <c r="A19" t="s">
        <v>36</v>
      </c>
      <c r="B19" t="s">
        <v>37</v>
      </c>
      <c r="C19" t="str">
        <f t="shared" si="1"/>
        <v>Sinincay</v>
      </c>
      <c r="D19" t="str">
        <f t="shared" si="0"/>
        <v>Sinincay</v>
      </c>
      <c r="E19" t="str">
        <f t="shared" si="2"/>
        <v>EC010167</v>
      </c>
      <c r="F19" t="str">
        <f>_xlfn.XLOOKUP(G19,ecu_admgz_adm2!D:D,ecu_admgz_adm2!C:C)</f>
        <v>Cuenca</v>
      </c>
      <c r="G19" t="str">
        <f t="shared" si="3"/>
        <v>EC0101</v>
      </c>
      <c r="H19" t="str">
        <f t="shared" si="4"/>
        <v>EC01</v>
      </c>
      <c r="I19" t="str">
        <f>_xlfn.XLOOKUP(H19,eci_admgz_adm1!D:D,eci_admgz_adm1!C:C)</f>
        <v>Azuay</v>
      </c>
      <c r="J19" t="s">
        <v>2021</v>
      </c>
      <c r="K19" s="1" t="s">
        <v>2023</v>
      </c>
    </row>
    <row r="20" spans="1:11" ht="16" x14ac:dyDescent="0.2">
      <c r="A20" t="s">
        <v>38</v>
      </c>
      <c r="B20" t="s">
        <v>39</v>
      </c>
      <c r="C20" t="str">
        <f t="shared" si="1"/>
        <v>Tarqui</v>
      </c>
      <c r="D20" t="str">
        <f t="shared" si="0"/>
        <v>Tarqui</v>
      </c>
      <c r="E20" t="str">
        <f t="shared" si="2"/>
        <v>EC010168</v>
      </c>
      <c r="F20" t="str">
        <f>_xlfn.XLOOKUP(G20,ecu_admgz_adm2!D:D,ecu_admgz_adm2!C:C)</f>
        <v>Cuenca</v>
      </c>
      <c r="G20" t="str">
        <f t="shared" si="3"/>
        <v>EC0101</v>
      </c>
      <c r="H20" t="str">
        <f t="shared" si="4"/>
        <v>EC01</v>
      </c>
      <c r="I20" t="str">
        <f>_xlfn.XLOOKUP(H20,eci_admgz_adm1!D:D,eci_admgz_adm1!C:C)</f>
        <v>Azuay</v>
      </c>
      <c r="J20" t="s">
        <v>2021</v>
      </c>
      <c r="K20" s="1" t="s">
        <v>2023</v>
      </c>
    </row>
    <row r="21" spans="1:11" ht="16" x14ac:dyDescent="0.2">
      <c r="A21" t="s">
        <v>40</v>
      </c>
      <c r="B21" t="s">
        <v>41</v>
      </c>
      <c r="C21" t="str">
        <f t="shared" si="1"/>
        <v>Turi</v>
      </c>
      <c r="D21" t="str">
        <f t="shared" si="0"/>
        <v>Turi</v>
      </c>
      <c r="E21" t="str">
        <f t="shared" si="2"/>
        <v>EC010169</v>
      </c>
      <c r="F21" t="str">
        <f>_xlfn.XLOOKUP(G21,ecu_admgz_adm2!D:D,ecu_admgz_adm2!C:C)</f>
        <v>Cuenca</v>
      </c>
      <c r="G21" t="str">
        <f t="shared" si="3"/>
        <v>EC0101</v>
      </c>
      <c r="H21" t="str">
        <f t="shared" si="4"/>
        <v>EC01</v>
      </c>
      <c r="I21" t="str">
        <f>_xlfn.XLOOKUP(H21,eci_admgz_adm1!D:D,eci_admgz_adm1!C:C)</f>
        <v>Azuay</v>
      </c>
      <c r="J21" t="s">
        <v>2021</v>
      </c>
      <c r="K21" s="1" t="s">
        <v>2023</v>
      </c>
    </row>
    <row r="22" spans="1:11" ht="16" x14ac:dyDescent="0.2">
      <c r="A22" t="s">
        <v>42</v>
      </c>
      <c r="B22" t="s">
        <v>43</v>
      </c>
      <c r="C22" t="str">
        <f t="shared" si="1"/>
        <v>Valle</v>
      </c>
      <c r="D22" t="str">
        <f t="shared" si="0"/>
        <v>Valle</v>
      </c>
      <c r="E22" t="str">
        <f t="shared" si="2"/>
        <v>EC010170</v>
      </c>
      <c r="F22" t="str">
        <f>_xlfn.XLOOKUP(G22,ecu_admgz_adm2!D:D,ecu_admgz_adm2!C:C)</f>
        <v>Cuenca</v>
      </c>
      <c r="G22" t="str">
        <f t="shared" si="3"/>
        <v>EC0101</v>
      </c>
      <c r="H22" t="str">
        <f t="shared" si="4"/>
        <v>EC01</v>
      </c>
      <c r="I22" t="str">
        <f>_xlfn.XLOOKUP(H22,eci_admgz_adm1!D:D,eci_admgz_adm1!C:C)</f>
        <v>Azuay</v>
      </c>
      <c r="J22" t="s">
        <v>2021</v>
      </c>
      <c r="K22" s="1" t="s">
        <v>2023</v>
      </c>
    </row>
    <row r="23" spans="1:11" ht="16" x14ac:dyDescent="0.2">
      <c r="A23" t="s">
        <v>44</v>
      </c>
      <c r="B23" t="s">
        <v>45</v>
      </c>
      <c r="C23" t="str">
        <f t="shared" si="1"/>
        <v>Victoria Del Portete</v>
      </c>
      <c r="D23" t="str">
        <f t="shared" si="0"/>
        <v>Victoria del Portete</v>
      </c>
      <c r="E23" t="str">
        <f t="shared" si="2"/>
        <v>EC010171</v>
      </c>
      <c r="F23" t="str">
        <f>_xlfn.XLOOKUP(G23,ecu_admgz_adm2!D:D,ecu_admgz_adm2!C:C)</f>
        <v>Cuenca</v>
      </c>
      <c r="G23" t="str">
        <f t="shared" si="3"/>
        <v>EC0101</v>
      </c>
      <c r="H23" t="str">
        <f t="shared" si="4"/>
        <v>EC01</v>
      </c>
      <c r="I23" t="str">
        <f>_xlfn.XLOOKUP(H23,eci_admgz_adm1!D:D,eci_admgz_adm1!C:C)</f>
        <v>Azuay</v>
      </c>
      <c r="J23" t="s">
        <v>2021</v>
      </c>
      <c r="K23" s="1" t="s">
        <v>2023</v>
      </c>
    </row>
    <row r="24" spans="1:11" ht="16" x14ac:dyDescent="0.2">
      <c r="A24" t="s">
        <v>46</v>
      </c>
      <c r="B24" t="s">
        <v>47</v>
      </c>
      <c r="C24" t="str">
        <f t="shared" si="1"/>
        <v>Girón</v>
      </c>
      <c r="D24" t="str">
        <f t="shared" si="0"/>
        <v>Girón</v>
      </c>
      <c r="E24" t="str">
        <f t="shared" si="2"/>
        <v>EC010250</v>
      </c>
      <c r="F24" t="str">
        <f>_xlfn.XLOOKUP(G24,ecu_admgz_adm2!D:D,ecu_admgz_adm2!C:C)</f>
        <v>Girón</v>
      </c>
      <c r="G24" t="str">
        <f t="shared" si="3"/>
        <v>EC0102</v>
      </c>
      <c r="H24" t="str">
        <f t="shared" si="4"/>
        <v>EC01</v>
      </c>
      <c r="I24" t="str">
        <f>_xlfn.XLOOKUP(H24,eci_admgz_adm1!D:D,eci_admgz_adm1!C:C)</f>
        <v>Azuay</v>
      </c>
      <c r="J24" t="s">
        <v>2021</v>
      </c>
      <c r="K24" s="1" t="s">
        <v>2023</v>
      </c>
    </row>
    <row r="25" spans="1:11" ht="16" x14ac:dyDescent="0.2">
      <c r="A25" t="s">
        <v>48</v>
      </c>
      <c r="B25" t="s">
        <v>49</v>
      </c>
      <c r="C25" t="str">
        <f t="shared" si="1"/>
        <v>La Asunción</v>
      </c>
      <c r="D25" t="str">
        <f t="shared" si="0"/>
        <v>La Asunción</v>
      </c>
      <c r="E25" t="str">
        <f t="shared" si="2"/>
        <v>EC010251</v>
      </c>
      <c r="F25" t="str">
        <f>_xlfn.XLOOKUP(G25,ecu_admgz_adm2!D:D,ecu_admgz_adm2!C:C)</f>
        <v>Girón</v>
      </c>
      <c r="G25" t="str">
        <f t="shared" si="3"/>
        <v>EC0102</v>
      </c>
      <c r="H25" t="str">
        <f t="shared" si="4"/>
        <v>EC01</v>
      </c>
      <c r="I25" t="str">
        <f>_xlfn.XLOOKUP(H25,eci_admgz_adm1!D:D,eci_admgz_adm1!C:C)</f>
        <v>Azuay</v>
      </c>
      <c r="J25" t="s">
        <v>2021</v>
      </c>
      <c r="K25" s="1" t="s">
        <v>2023</v>
      </c>
    </row>
    <row r="26" spans="1:11" ht="16" x14ac:dyDescent="0.2">
      <c r="A26" t="s">
        <v>50</v>
      </c>
      <c r="B26" t="s">
        <v>51</v>
      </c>
      <c r="C26" t="str">
        <f t="shared" si="1"/>
        <v>San Gerardo</v>
      </c>
      <c r="D26" t="str">
        <f t="shared" si="0"/>
        <v>San Gerardo</v>
      </c>
      <c r="E26" t="str">
        <f t="shared" si="2"/>
        <v>EC010252</v>
      </c>
      <c r="F26" t="str">
        <f>_xlfn.XLOOKUP(G26,ecu_admgz_adm2!D:D,ecu_admgz_adm2!C:C)</f>
        <v>Girón</v>
      </c>
      <c r="G26" t="str">
        <f t="shared" si="3"/>
        <v>EC0102</v>
      </c>
      <c r="H26" t="str">
        <f t="shared" si="4"/>
        <v>EC01</v>
      </c>
      <c r="I26" t="str">
        <f>_xlfn.XLOOKUP(H26,eci_admgz_adm1!D:D,eci_admgz_adm1!C:C)</f>
        <v>Azuay</v>
      </c>
      <c r="J26" t="s">
        <v>2021</v>
      </c>
      <c r="K26" s="1" t="s">
        <v>2023</v>
      </c>
    </row>
    <row r="27" spans="1:11" ht="16" x14ac:dyDescent="0.2">
      <c r="A27" t="s">
        <v>52</v>
      </c>
      <c r="B27" t="s">
        <v>53</v>
      </c>
      <c r="C27" t="str">
        <f t="shared" si="1"/>
        <v>Gualaceo</v>
      </c>
      <c r="D27" t="str">
        <f t="shared" si="0"/>
        <v>Gualaceo</v>
      </c>
      <c r="E27" t="str">
        <f t="shared" si="2"/>
        <v>EC010350</v>
      </c>
      <c r="F27" t="str">
        <f>_xlfn.XLOOKUP(G27,ecu_admgz_adm2!D:D,ecu_admgz_adm2!C:C)</f>
        <v>Gualaceo</v>
      </c>
      <c r="G27" t="str">
        <f t="shared" si="3"/>
        <v>EC0103</v>
      </c>
      <c r="H27" t="str">
        <f t="shared" si="4"/>
        <v>EC01</v>
      </c>
      <c r="I27" t="str">
        <f>_xlfn.XLOOKUP(H27,eci_admgz_adm1!D:D,eci_admgz_adm1!C:C)</f>
        <v>Azuay</v>
      </c>
      <c r="J27" t="s">
        <v>2021</v>
      </c>
      <c r="K27" s="1" t="s">
        <v>2023</v>
      </c>
    </row>
    <row r="28" spans="1:11" ht="16" x14ac:dyDescent="0.2">
      <c r="A28" t="s">
        <v>54</v>
      </c>
      <c r="B28" t="s">
        <v>55</v>
      </c>
      <c r="C28" t="str">
        <f t="shared" si="1"/>
        <v>Daniel Córdova Toral</v>
      </c>
      <c r="D28" t="str">
        <f t="shared" si="0"/>
        <v>Daniel Córdova Toral</v>
      </c>
      <c r="E28" t="str">
        <f t="shared" si="2"/>
        <v>EC010352</v>
      </c>
      <c r="F28" t="str">
        <f>_xlfn.XLOOKUP(G28,ecu_admgz_adm2!D:D,ecu_admgz_adm2!C:C)</f>
        <v>Gualaceo</v>
      </c>
      <c r="G28" t="str">
        <f t="shared" si="3"/>
        <v>EC0103</v>
      </c>
      <c r="H28" t="str">
        <f t="shared" si="4"/>
        <v>EC01</v>
      </c>
      <c r="I28" t="str">
        <f>_xlfn.XLOOKUP(H28,eci_admgz_adm1!D:D,eci_admgz_adm1!C:C)</f>
        <v>Azuay</v>
      </c>
      <c r="J28" t="s">
        <v>2021</v>
      </c>
      <c r="K28" s="1" t="s">
        <v>2023</v>
      </c>
    </row>
    <row r="29" spans="1:11" ht="16" x14ac:dyDescent="0.2">
      <c r="A29" t="s">
        <v>56</v>
      </c>
      <c r="B29" t="s">
        <v>57</v>
      </c>
      <c r="C29" t="str">
        <f t="shared" si="1"/>
        <v>Jadán</v>
      </c>
      <c r="D29" t="str">
        <f t="shared" si="0"/>
        <v>Jadán</v>
      </c>
      <c r="E29" t="str">
        <f t="shared" si="2"/>
        <v>EC010353</v>
      </c>
      <c r="F29" t="str">
        <f>_xlfn.XLOOKUP(G29,ecu_admgz_adm2!D:D,ecu_admgz_adm2!C:C)</f>
        <v>Gualaceo</v>
      </c>
      <c r="G29" t="str">
        <f t="shared" si="3"/>
        <v>EC0103</v>
      </c>
      <c r="H29" t="str">
        <f t="shared" si="4"/>
        <v>EC01</v>
      </c>
      <c r="I29" t="str">
        <f>_xlfn.XLOOKUP(H29,eci_admgz_adm1!D:D,eci_admgz_adm1!C:C)</f>
        <v>Azuay</v>
      </c>
      <c r="J29" t="s">
        <v>2021</v>
      </c>
      <c r="K29" s="1" t="s">
        <v>2023</v>
      </c>
    </row>
    <row r="30" spans="1:11" ht="16" x14ac:dyDescent="0.2">
      <c r="A30" t="s">
        <v>58</v>
      </c>
      <c r="B30" t="s">
        <v>59</v>
      </c>
      <c r="C30" t="str">
        <f t="shared" si="1"/>
        <v>Mariano Moreno</v>
      </c>
      <c r="D30" t="str">
        <f t="shared" si="0"/>
        <v>Mariano Moreno</v>
      </c>
      <c r="E30" t="str">
        <f t="shared" si="2"/>
        <v>EC010354</v>
      </c>
      <c r="F30" t="str">
        <f>_xlfn.XLOOKUP(G30,ecu_admgz_adm2!D:D,ecu_admgz_adm2!C:C)</f>
        <v>Gualaceo</v>
      </c>
      <c r="G30" t="str">
        <f t="shared" si="3"/>
        <v>EC0103</v>
      </c>
      <c r="H30" t="str">
        <f t="shared" si="4"/>
        <v>EC01</v>
      </c>
      <c r="I30" t="str">
        <f>_xlfn.XLOOKUP(H30,eci_admgz_adm1!D:D,eci_admgz_adm1!C:C)</f>
        <v>Azuay</v>
      </c>
      <c r="J30" t="s">
        <v>2021</v>
      </c>
      <c r="K30" s="1" t="s">
        <v>2023</v>
      </c>
    </row>
    <row r="31" spans="1:11" ht="16" x14ac:dyDescent="0.2">
      <c r="A31" t="s">
        <v>60</v>
      </c>
      <c r="B31" t="s">
        <v>61</v>
      </c>
      <c r="C31" t="str">
        <f t="shared" si="1"/>
        <v>Remigio Crespo Toral</v>
      </c>
      <c r="D31" t="str">
        <f t="shared" si="0"/>
        <v>Remigio Crespo Toral</v>
      </c>
      <c r="E31" t="str">
        <f t="shared" si="2"/>
        <v>EC010356</v>
      </c>
      <c r="F31" t="str">
        <f>_xlfn.XLOOKUP(G31,ecu_admgz_adm2!D:D,ecu_admgz_adm2!C:C)</f>
        <v>Gualaceo</v>
      </c>
      <c r="G31" t="str">
        <f t="shared" si="3"/>
        <v>EC0103</v>
      </c>
      <c r="H31" t="str">
        <f t="shared" si="4"/>
        <v>EC01</v>
      </c>
      <c r="I31" t="str">
        <f>_xlfn.XLOOKUP(H31,eci_admgz_adm1!D:D,eci_admgz_adm1!C:C)</f>
        <v>Azuay</v>
      </c>
      <c r="J31" t="s">
        <v>2021</v>
      </c>
      <c r="K31" s="1" t="s">
        <v>2023</v>
      </c>
    </row>
    <row r="32" spans="1:11" ht="16" x14ac:dyDescent="0.2">
      <c r="A32" t="s">
        <v>62</v>
      </c>
      <c r="B32" t="s">
        <v>63</v>
      </c>
      <c r="C32" t="str">
        <f t="shared" si="1"/>
        <v>San Juan</v>
      </c>
      <c r="D32" t="str">
        <f t="shared" si="0"/>
        <v>San Juan</v>
      </c>
      <c r="E32" t="str">
        <f t="shared" si="2"/>
        <v>EC010357</v>
      </c>
      <c r="F32" t="str">
        <f>_xlfn.XLOOKUP(G32,ecu_admgz_adm2!D:D,ecu_admgz_adm2!C:C)</f>
        <v>Gualaceo</v>
      </c>
      <c r="G32" t="str">
        <f t="shared" si="3"/>
        <v>EC0103</v>
      </c>
      <c r="H32" t="str">
        <f t="shared" si="4"/>
        <v>EC01</v>
      </c>
      <c r="I32" t="str">
        <f>_xlfn.XLOOKUP(H32,eci_admgz_adm1!D:D,eci_admgz_adm1!C:C)</f>
        <v>Azuay</v>
      </c>
      <c r="J32" t="s">
        <v>2021</v>
      </c>
      <c r="K32" s="1" t="s">
        <v>2023</v>
      </c>
    </row>
    <row r="33" spans="1:11" ht="16" x14ac:dyDescent="0.2">
      <c r="A33" t="s">
        <v>64</v>
      </c>
      <c r="B33" t="s">
        <v>65</v>
      </c>
      <c r="C33" t="str">
        <f t="shared" si="1"/>
        <v>Zhidmad</v>
      </c>
      <c r="D33" t="str">
        <f t="shared" si="0"/>
        <v>Zhidmad</v>
      </c>
      <c r="E33" t="str">
        <f t="shared" si="2"/>
        <v>EC010358</v>
      </c>
      <c r="F33" t="str">
        <f>_xlfn.XLOOKUP(G33,ecu_admgz_adm2!D:D,ecu_admgz_adm2!C:C)</f>
        <v>Gualaceo</v>
      </c>
      <c r="G33" t="str">
        <f t="shared" si="3"/>
        <v>EC0103</v>
      </c>
      <c r="H33" t="str">
        <f t="shared" si="4"/>
        <v>EC01</v>
      </c>
      <c r="I33" t="str">
        <f>_xlfn.XLOOKUP(H33,eci_admgz_adm1!D:D,eci_admgz_adm1!C:C)</f>
        <v>Azuay</v>
      </c>
      <c r="J33" t="s">
        <v>2021</v>
      </c>
      <c r="K33" s="1" t="s">
        <v>2023</v>
      </c>
    </row>
    <row r="34" spans="1:11" ht="16" x14ac:dyDescent="0.2">
      <c r="A34" t="s">
        <v>66</v>
      </c>
      <c r="B34" t="s">
        <v>67</v>
      </c>
      <c r="C34" t="str">
        <f t="shared" si="1"/>
        <v>Luis Cordero Vega</v>
      </c>
      <c r="D34" t="str">
        <f t="shared" si="0"/>
        <v>Luis Cordero Vega</v>
      </c>
      <c r="E34" t="str">
        <f t="shared" si="2"/>
        <v>EC010359</v>
      </c>
      <c r="F34" t="str">
        <f>_xlfn.XLOOKUP(G34,ecu_admgz_adm2!D:D,ecu_admgz_adm2!C:C)</f>
        <v>Gualaceo</v>
      </c>
      <c r="G34" t="str">
        <f t="shared" si="3"/>
        <v>EC0103</v>
      </c>
      <c r="H34" t="str">
        <f t="shared" si="4"/>
        <v>EC01</v>
      </c>
      <c r="I34" t="str">
        <f>_xlfn.XLOOKUP(H34,eci_admgz_adm1!D:D,eci_admgz_adm1!C:C)</f>
        <v>Azuay</v>
      </c>
      <c r="J34" t="s">
        <v>2021</v>
      </c>
      <c r="K34" s="1" t="s">
        <v>2023</v>
      </c>
    </row>
    <row r="35" spans="1:11" ht="16" x14ac:dyDescent="0.2">
      <c r="A35" t="s">
        <v>68</v>
      </c>
      <c r="B35" t="s">
        <v>69</v>
      </c>
      <c r="C35" t="str">
        <f t="shared" si="1"/>
        <v>Simón Bolívar</v>
      </c>
      <c r="D35" t="str">
        <f t="shared" si="0"/>
        <v>Simón Bolívar</v>
      </c>
      <c r="E35" t="str">
        <f t="shared" si="2"/>
        <v>EC010360</v>
      </c>
      <c r="F35" t="str">
        <f>_xlfn.XLOOKUP(G35,ecu_admgz_adm2!D:D,ecu_admgz_adm2!C:C)</f>
        <v>Gualaceo</v>
      </c>
      <c r="G35" t="str">
        <f t="shared" si="3"/>
        <v>EC0103</v>
      </c>
      <c r="H35" t="str">
        <f t="shared" si="4"/>
        <v>EC01</v>
      </c>
      <c r="I35" t="str">
        <f>_xlfn.XLOOKUP(H35,eci_admgz_adm1!D:D,eci_admgz_adm1!C:C)</f>
        <v>Azuay</v>
      </c>
      <c r="J35" t="s">
        <v>2021</v>
      </c>
      <c r="K35" s="1" t="s">
        <v>2023</v>
      </c>
    </row>
    <row r="36" spans="1:11" ht="16" x14ac:dyDescent="0.2">
      <c r="A36" t="s">
        <v>70</v>
      </c>
      <c r="B36" t="s">
        <v>71</v>
      </c>
      <c r="C36" t="str">
        <f t="shared" si="1"/>
        <v>Nabón</v>
      </c>
      <c r="D36" t="str">
        <f t="shared" si="0"/>
        <v>Nabón</v>
      </c>
      <c r="E36" t="str">
        <f t="shared" si="2"/>
        <v>EC010450</v>
      </c>
      <c r="F36" t="str">
        <f>_xlfn.XLOOKUP(G36,ecu_admgz_adm2!D:D,ecu_admgz_adm2!C:C)</f>
        <v>Nabón</v>
      </c>
      <c r="G36" t="str">
        <f t="shared" si="3"/>
        <v>EC0104</v>
      </c>
      <c r="H36" t="str">
        <f t="shared" si="4"/>
        <v>EC01</v>
      </c>
      <c r="I36" t="str">
        <f>_xlfn.XLOOKUP(H36,eci_admgz_adm1!D:D,eci_admgz_adm1!C:C)</f>
        <v>Azuay</v>
      </c>
      <c r="J36" t="s">
        <v>2021</v>
      </c>
      <c r="K36" s="1" t="s">
        <v>2023</v>
      </c>
    </row>
    <row r="37" spans="1:11" ht="16" x14ac:dyDescent="0.2">
      <c r="A37" t="s">
        <v>72</v>
      </c>
      <c r="B37" t="s">
        <v>73</v>
      </c>
      <c r="C37" t="str">
        <f t="shared" si="1"/>
        <v>Cochapata</v>
      </c>
      <c r="D37" t="str">
        <f t="shared" si="0"/>
        <v>Cochapata</v>
      </c>
      <c r="E37" t="str">
        <f t="shared" si="2"/>
        <v>EC010451</v>
      </c>
      <c r="F37" t="str">
        <f>_xlfn.XLOOKUP(G37,ecu_admgz_adm2!D:D,ecu_admgz_adm2!C:C)</f>
        <v>Nabón</v>
      </c>
      <c r="G37" t="str">
        <f t="shared" si="3"/>
        <v>EC0104</v>
      </c>
      <c r="H37" t="str">
        <f t="shared" si="4"/>
        <v>EC01</v>
      </c>
      <c r="I37" t="str">
        <f>_xlfn.XLOOKUP(H37,eci_admgz_adm1!D:D,eci_admgz_adm1!C:C)</f>
        <v>Azuay</v>
      </c>
      <c r="J37" t="s">
        <v>2021</v>
      </c>
      <c r="K37" s="1" t="s">
        <v>2023</v>
      </c>
    </row>
    <row r="38" spans="1:11" ht="16" x14ac:dyDescent="0.2">
      <c r="A38" t="s">
        <v>74</v>
      </c>
      <c r="B38" t="s">
        <v>75</v>
      </c>
      <c r="C38" t="str">
        <f t="shared" si="1"/>
        <v>El Progreso</v>
      </c>
      <c r="D38" t="str">
        <f t="shared" si="0"/>
        <v>El Progreso</v>
      </c>
      <c r="E38" t="str">
        <f t="shared" si="2"/>
        <v>EC010452</v>
      </c>
      <c r="F38" t="str">
        <f>_xlfn.XLOOKUP(G38,ecu_admgz_adm2!D:D,ecu_admgz_adm2!C:C)</f>
        <v>Nabón</v>
      </c>
      <c r="G38" t="str">
        <f t="shared" si="3"/>
        <v>EC0104</v>
      </c>
      <c r="H38" t="str">
        <f t="shared" si="4"/>
        <v>EC01</v>
      </c>
      <c r="I38" t="str">
        <f>_xlfn.XLOOKUP(H38,eci_admgz_adm1!D:D,eci_admgz_adm1!C:C)</f>
        <v>Azuay</v>
      </c>
      <c r="J38" t="s">
        <v>2021</v>
      </c>
      <c r="K38" s="1" t="s">
        <v>2023</v>
      </c>
    </row>
    <row r="39" spans="1:11" ht="16" x14ac:dyDescent="0.2">
      <c r="A39" t="s">
        <v>76</v>
      </c>
      <c r="B39" t="s">
        <v>77</v>
      </c>
      <c r="C39" t="str">
        <f t="shared" si="1"/>
        <v>Las Nieves</v>
      </c>
      <c r="D39" t="str">
        <f t="shared" si="0"/>
        <v>Las Nieves</v>
      </c>
      <c r="E39" t="str">
        <f t="shared" si="2"/>
        <v>EC010453</v>
      </c>
      <c r="F39" t="str">
        <f>_xlfn.XLOOKUP(G39,ecu_admgz_adm2!D:D,ecu_admgz_adm2!C:C)</f>
        <v>Nabón</v>
      </c>
      <c r="G39" t="str">
        <f t="shared" si="3"/>
        <v>EC0104</v>
      </c>
      <c r="H39" t="str">
        <f t="shared" si="4"/>
        <v>EC01</v>
      </c>
      <c r="I39" t="str">
        <f>_xlfn.XLOOKUP(H39,eci_admgz_adm1!D:D,eci_admgz_adm1!C:C)</f>
        <v>Azuay</v>
      </c>
      <c r="J39" t="s">
        <v>2021</v>
      </c>
      <c r="K39" s="1" t="s">
        <v>2023</v>
      </c>
    </row>
    <row r="40" spans="1:11" ht="16" x14ac:dyDescent="0.2">
      <c r="A40" t="s">
        <v>78</v>
      </c>
      <c r="B40" t="s">
        <v>79</v>
      </c>
      <c r="C40" t="str">
        <f t="shared" si="1"/>
        <v>Paute</v>
      </c>
      <c r="D40" t="str">
        <f t="shared" si="0"/>
        <v>Paute</v>
      </c>
      <c r="E40" t="str">
        <f t="shared" si="2"/>
        <v>EC010550</v>
      </c>
      <c r="F40" t="str">
        <f>_xlfn.XLOOKUP(G40,ecu_admgz_adm2!D:D,ecu_admgz_adm2!C:C)</f>
        <v>Paute</v>
      </c>
      <c r="G40" t="str">
        <f t="shared" si="3"/>
        <v>EC0105</v>
      </c>
      <c r="H40" t="str">
        <f t="shared" si="4"/>
        <v>EC01</v>
      </c>
      <c r="I40" t="str">
        <f>_xlfn.XLOOKUP(H40,eci_admgz_adm1!D:D,eci_admgz_adm1!C:C)</f>
        <v>Azuay</v>
      </c>
      <c r="J40" t="s">
        <v>2021</v>
      </c>
      <c r="K40" s="1" t="s">
        <v>2023</v>
      </c>
    </row>
    <row r="41" spans="1:11" ht="16" x14ac:dyDescent="0.2">
      <c r="A41" t="s">
        <v>80</v>
      </c>
      <c r="B41" t="s">
        <v>81</v>
      </c>
      <c r="C41" t="str">
        <f t="shared" si="1"/>
        <v>Bulán</v>
      </c>
      <c r="D41" t="str">
        <f t="shared" si="0"/>
        <v>Bulán</v>
      </c>
      <c r="E41" t="str">
        <f t="shared" si="2"/>
        <v>EC010552</v>
      </c>
      <c r="F41" t="str">
        <f>_xlfn.XLOOKUP(G41,ecu_admgz_adm2!D:D,ecu_admgz_adm2!C:C)</f>
        <v>Paute</v>
      </c>
      <c r="G41" t="str">
        <f t="shared" si="3"/>
        <v>EC0105</v>
      </c>
      <c r="H41" t="str">
        <f t="shared" si="4"/>
        <v>EC01</v>
      </c>
      <c r="I41" t="str">
        <f>_xlfn.XLOOKUP(H41,eci_admgz_adm1!D:D,eci_admgz_adm1!C:C)</f>
        <v>Azuay</v>
      </c>
      <c r="J41" t="s">
        <v>2021</v>
      </c>
      <c r="K41" s="1" t="s">
        <v>2023</v>
      </c>
    </row>
    <row r="42" spans="1:11" ht="16" x14ac:dyDescent="0.2">
      <c r="A42" t="s">
        <v>82</v>
      </c>
      <c r="B42" t="s">
        <v>83</v>
      </c>
      <c r="C42" t="str">
        <f t="shared" si="1"/>
        <v>Chicán</v>
      </c>
      <c r="D42" t="str">
        <f t="shared" si="0"/>
        <v>Chicán</v>
      </c>
      <c r="E42" t="str">
        <f t="shared" si="2"/>
        <v>EC010553</v>
      </c>
      <c r="F42" t="str">
        <f>_xlfn.XLOOKUP(G42,ecu_admgz_adm2!D:D,ecu_admgz_adm2!C:C)</f>
        <v>Paute</v>
      </c>
      <c r="G42" t="str">
        <f t="shared" si="3"/>
        <v>EC0105</v>
      </c>
      <c r="H42" t="str">
        <f t="shared" si="4"/>
        <v>EC01</v>
      </c>
      <c r="I42" t="str">
        <f>_xlfn.XLOOKUP(H42,eci_admgz_adm1!D:D,eci_admgz_adm1!C:C)</f>
        <v>Azuay</v>
      </c>
      <c r="J42" t="s">
        <v>2021</v>
      </c>
      <c r="K42" s="1" t="s">
        <v>2023</v>
      </c>
    </row>
    <row r="43" spans="1:11" ht="16" x14ac:dyDescent="0.2">
      <c r="A43" t="s">
        <v>84</v>
      </c>
      <c r="B43" t="s">
        <v>85</v>
      </c>
      <c r="C43" t="str">
        <f t="shared" si="1"/>
        <v>El Cabo</v>
      </c>
      <c r="D43" t="str">
        <f t="shared" si="0"/>
        <v>El Cabo</v>
      </c>
      <c r="E43" t="str">
        <f t="shared" si="2"/>
        <v>EC010554</v>
      </c>
      <c r="F43" t="str">
        <f>_xlfn.XLOOKUP(G43,ecu_admgz_adm2!D:D,ecu_admgz_adm2!C:C)</f>
        <v>Paute</v>
      </c>
      <c r="G43" t="str">
        <f t="shared" si="3"/>
        <v>EC0105</v>
      </c>
      <c r="H43" t="str">
        <f t="shared" si="4"/>
        <v>EC01</v>
      </c>
      <c r="I43" t="str">
        <f>_xlfn.XLOOKUP(H43,eci_admgz_adm1!D:D,eci_admgz_adm1!C:C)</f>
        <v>Azuay</v>
      </c>
      <c r="J43" t="s">
        <v>2021</v>
      </c>
      <c r="K43" s="1" t="s">
        <v>2023</v>
      </c>
    </row>
    <row r="44" spans="1:11" ht="16" x14ac:dyDescent="0.2">
      <c r="A44" t="s">
        <v>86</v>
      </c>
      <c r="B44" t="s">
        <v>87</v>
      </c>
      <c r="C44" t="str">
        <f t="shared" si="1"/>
        <v>Guarainag</v>
      </c>
      <c r="D44" t="str">
        <f t="shared" si="0"/>
        <v>Guarainag</v>
      </c>
      <c r="E44" t="str">
        <f t="shared" si="2"/>
        <v>EC010556</v>
      </c>
      <c r="F44" t="str">
        <f>_xlfn.XLOOKUP(G44,ecu_admgz_adm2!D:D,ecu_admgz_adm2!C:C)</f>
        <v>Paute</v>
      </c>
      <c r="G44" t="str">
        <f t="shared" si="3"/>
        <v>EC0105</v>
      </c>
      <c r="H44" t="str">
        <f t="shared" si="4"/>
        <v>EC01</v>
      </c>
      <c r="I44" t="str">
        <f>_xlfn.XLOOKUP(H44,eci_admgz_adm1!D:D,eci_admgz_adm1!C:C)</f>
        <v>Azuay</v>
      </c>
      <c r="J44" t="s">
        <v>2021</v>
      </c>
      <c r="K44" s="1" t="s">
        <v>2023</v>
      </c>
    </row>
    <row r="45" spans="1:11" ht="16" x14ac:dyDescent="0.2">
      <c r="A45" t="s">
        <v>88</v>
      </c>
      <c r="B45" t="s">
        <v>89</v>
      </c>
      <c r="C45" t="str">
        <f t="shared" si="1"/>
        <v>San Cristóbal</v>
      </c>
      <c r="D45" t="str">
        <f t="shared" si="0"/>
        <v>San Cristóbal</v>
      </c>
      <c r="E45" t="str">
        <f t="shared" si="2"/>
        <v>EC010559</v>
      </c>
      <c r="F45" t="str">
        <f>_xlfn.XLOOKUP(G45,ecu_admgz_adm2!D:D,ecu_admgz_adm2!C:C)</f>
        <v>Paute</v>
      </c>
      <c r="G45" t="str">
        <f t="shared" si="3"/>
        <v>EC0105</v>
      </c>
      <c r="H45" t="str">
        <f t="shared" si="4"/>
        <v>EC01</v>
      </c>
      <c r="I45" t="str">
        <f>_xlfn.XLOOKUP(H45,eci_admgz_adm1!D:D,eci_admgz_adm1!C:C)</f>
        <v>Azuay</v>
      </c>
      <c r="J45" t="s">
        <v>2021</v>
      </c>
      <c r="K45" s="1" t="s">
        <v>2023</v>
      </c>
    </row>
    <row r="46" spans="1:11" ht="16" x14ac:dyDescent="0.2">
      <c r="A46" t="s">
        <v>90</v>
      </c>
      <c r="B46" t="s">
        <v>91</v>
      </c>
      <c r="C46" t="str">
        <f t="shared" si="1"/>
        <v>Tomebamba</v>
      </c>
      <c r="D46" t="str">
        <f t="shared" si="0"/>
        <v>Tomebamba</v>
      </c>
      <c r="E46" t="str">
        <f t="shared" si="2"/>
        <v>EC010561</v>
      </c>
      <c r="F46" t="str">
        <f>_xlfn.XLOOKUP(G46,ecu_admgz_adm2!D:D,ecu_admgz_adm2!C:C)</f>
        <v>Paute</v>
      </c>
      <c r="G46" t="str">
        <f t="shared" si="3"/>
        <v>EC0105</v>
      </c>
      <c r="H46" t="str">
        <f t="shared" si="4"/>
        <v>EC01</v>
      </c>
      <c r="I46" t="str">
        <f>_xlfn.XLOOKUP(H46,eci_admgz_adm1!D:D,eci_admgz_adm1!C:C)</f>
        <v>Azuay</v>
      </c>
      <c r="J46" t="s">
        <v>2021</v>
      </c>
      <c r="K46" s="1" t="s">
        <v>2023</v>
      </c>
    </row>
    <row r="47" spans="1:11" ht="16" x14ac:dyDescent="0.2">
      <c r="A47" t="s">
        <v>92</v>
      </c>
      <c r="B47" t="s">
        <v>93</v>
      </c>
      <c r="C47" t="str">
        <f t="shared" si="1"/>
        <v>Dug Dug</v>
      </c>
      <c r="D47" t="str">
        <f t="shared" si="0"/>
        <v>Dug Dug</v>
      </c>
      <c r="E47" t="str">
        <f t="shared" si="2"/>
        <v>EC010562</v>
      </c>
      <c r="F47" t="str">
        <f>_xlfn.XLOOKUP(G47,ecu_admgz_adm2!D:D,ecu_admgz_adm2!C:C)</f>
        <v>Paute</v>
      </c>
      <c r="G47" t="str">
        <f t="shared" si="3"/>
        <v>EC0105</v>
      </c>
      <c r="H47" t="str">
        <f t="shared" si="4"/>
        <v>EC01</v>
      </c>
      <c r="I47" t="str">
        <f>_xlfn.XLOOKUP(H47,eci_admgz_adm1!D:D,eci_admgz_adm1!C:C)</f>
        <v>Azuay</v>
      </c>
      <c r="J47" t="s">
        <v>2021</v>
      </c>
      <c r="K47" s="1" t="s">
        <v>2023</v>
      </c>
    </row>
    <row r="48" spans="1:11" ht="16" x14ac:dyDescent="0.2">
      <c r="A48" t="s">
        <v>94</v>
      </c>
      <c r="B48" t="s">
        <v>95</v>
      </c>
      <c r="C48" t="str">
        <f t="shared" si="1"/>
        <v>Pucará</v>
      </c>
      <c r="D48" t="str">
        <f t="shared" si="0"/>
        <v>Pucará</v>
      </c>
      <c r="E48" t="str">
        <f t="shared" si="2"/>
        <v>EC010650</v>
      </c>
      <c r="F48" t="str">
        <f>_xlfn.XLOOKUP(G48,ecu_admgz_adm2!D:D,ecu_admgz_adm2!C:C)</f>
        <v>Pucará</v>
      </c>
      <c r="G48" t="str">
        <f t="shared" si="3"/>
        <v>EC0106</v>
      </c>
      <c r="H48" t="str">
        <f t="shared" si="4"/>
        <v>EC01</v>
      </c>
      <c r="I48" t="str">
        <f>_xlfn.XLOOKUP(H48,eci_admgz_adm1!D:D,eci_admgz_adm1!C:C)</f>
        <v>Azuay</v>
      </c>
      <c r="J48" t="s">
        <v>2021</v>
      </c>
      <c r="K48" s="1" t="s">
        <v>2023</v>
      </c>
    </row>
    <row r="49" spans="1:11" ht="16" x14ac:dyDescent="0.2">
      <c r="A49" t="s">
        <v>96</v>
      </c>
      <c r="B49" t="s">
        <v>97</v>
      </c>
      <c r="C49" t="str">
        <f t="shared" si="1"/>
        <v>San Rafael De Sharug</v>
      </c>
      <c r="D49" t="str">
        <f t="shared" si="0"/>
        <v>San Rafael de Sharug</v>
      </c>
      <c r="E49" t="str">
        <f t="shared" si="2"/>
        <v>EC010652</v>
      </c>
      <c r="F49" t="str">
        <f>_xlfn.XLOOKUP(G49,ecu_admgz_adm2!D:D,ecu_admgz_adm2!C:C)</f>
        <v>Pucará</v>
      </c>
      <c r="G49" t="str">
        <f t="shared" si="3"/>
        <v>EC0106</v>
      </c>
      <c r="H49" t="str">
        <f t="shared" si="4"/>
        <v>EC01</v>
      </c>
      <c r="I49" t="str">
        <f>_xlfn.XLOOKUP(H49,eci_admgz_adm1!D:D,eci_admgz_adm1!C:C)</f>
        <v>Azuay</v>
      </c>
      <c r="J49" t="s">
        <v>2021</v>
      </c>
      <c r="K49" s="1" t="s">
        <v>2023</v>
      </c>
    </row>
    <row r="50" spans="1:11" ht="16" x14ac:dyDescent="0.2">
      <c r="A50" t="s">
        <v>98</v>
      </c>
      <c r="B50" t="s">
        <v>99</v>
      </c>
      <c r="C50" t="str">
        <f t="shared" si="1"/>
        <v>San Fernando</v>
      </c>
      <c r="D50" t="str">
        <f t="shared" si="0"/>
        <v>San Fernando</v>
      </c>
      <c r="E50" t="str">
        <f t="shared" si="2"/>
        <v>EC010750</v>
      </c>
      <c r="F50" t="str">
        <f>_xlfn.XLOOKUP(G50,ecu_admgz_adm2!D:D,ecu_admgz_adm2!C:C)</f>
        <v>San Fernando</v>
      </c>
      <c r="G50" t="str">
        <f t="shared" si="3"/>
        <v>EC0107</v>
      </c>
      <c r="H50" t="str">
        <f t="shared" si="4"/>
        <v>EC01</v>
      </c>
      <c r="I50" t="str">
        <f>_xlfn.XLOOKUP(H50,eci_admgz_adm1!D:D,eci_admgz_adm1!C:C)</f>
        <v>Azuay</v>
      </c>
      <c r="J50" t="s">
        <v>2021</v>
      </c>
      <c r="K50" s="1" t="s">
        <v>2023</v>
      </c>
    </row>
    <row r="51" spans="1:11" ht="16" x14ac:dyDescent="0.2">
      <c r="A51" t="s">
        <v>100</v>
      </c>
      <c r="B51" t="s">
        <v>101</v>
      </c>
      <c r="C51" t="str">
        <f t="shared" si="1"/>
        <v>Chumblín</v>
      </c>
      <c r="D51" t="str">
        <f t="shared" si="0"/>
        <v>Chumblín</v>
      </c>
      <c r="E51" t="str">
        <f t="shared" si="2"/>
        <v>EC010751</v>
      </c>
      <c r="F51" t="str">
        <f>_xlfn.XLOOKUP(G51,ecu_admgz_adm2!D:D,ecu_admgz_adm2!C:C)</f>
        <v>San Fernando</v>
      </c>
      <c r="G51" t="str">
        <f t="shared" si="3"/>
        <v>EC0107</v>
      </c>
      <c r="H51" t="str">
        <f t="shared" si="4"/>
        <v>EC01</v>
      </c>
      <c r="I51" t="str">
        <f>_xlfn.XLOOKUP(H51,eci_admgz_adm1!D:D,eci_admgz_adm1!C:C)</f>
        <v>Azuay</v>
      </c>
      <c r="J51" t="s">
        <v>2021</v>
      </c>
      <c r="K51" s="1" t="s">
        <v>2023</v>
      </c>
    </row>
    <row r="52" spans="1:11" ht="16" x14ac:dyDescent="0.2">
      <c r="A52" t="s">
        <v>102</v>
      </c>
      <c r="B52" t="s">
        <v>103</v>
      </c>
      <c r="C52" t="str">
        <f t="shared" si="1"/>
        <v>Santa Isabel</v>
      </c>
      <c r="D52" t="str">
        <f t="shared" si="0"/>
        <v>Santa Isabel</v>
      </c>
      <c r="E52" t="str">
        <f t="shared" si="2"/>
        <v>EC010850</v>
      </c>
      <c r="F52" t="str">
        <f>_xlfn.XLOOKUP(G52,ecu_admgz_adm2!D:D,ecu_admgz_adm2!C:C)</f>
        <v>Santa Isabel</v>
      </c>
      <c r="G52" t="str">
        <f t="shared" si="3"/>
        <v>EC0108</v>
      </c>
      <c r="H52" t="str">
        <f t="shared" si="4"/>
        <v>EC01</v>
      </c>
      <c r="I52" t="str">
        <f>_xlfn.XLOOKUP(H52,eci_admgz_adm1!D:D,eci_admgz_adm1!C:C)</f>
        <v>Azuay</v>
      </c>
      <c r="J52" t="s">
        <v>2021</v>
      </c>
      <c r="K52" s="1" t="s">
        <v>2023</v>
      </c>
    </row>
    <row r="53" spans="1:11" ht="16" x14ac:dyDescent="0.2">
      <c r="A53" t="s">
        <v>104</v>
      </c>
      <c r="B53" t="s">
        <v>105</v>
      </c>
      <c r="C53" t="str">
        <f t="shared" si="1"/>
        <v>Abdón Calderón</v>
      </c>
      <c r="D53" t="str">
        <f t="shared" si="0"/>
        <v>Abdón Calderón</v>
      </c>
      <c r="E53" t="str">
        <f t="shared" si="2"/>
        <v>EC010851</v>
      </c>
      <c r="F53" t="str">
        <f>_xlfn.XLOOKUP(G53,ecu_admgz_adm2!D:D,ecu_admgz_adm2!C:C)</f>
        <v>Santa Isabel</v>
      </c>
      <c r="G53" t="str">
        <f t="shared" si="3"/>
        <v>EC0108</v>
      </c>
      <c r="H53" t="str">
        <f t="shared" si="4"/>
        <v>EC01</v>
      </c>
      <c r="I53" t="str">
        <f>_xlfn.XLOOKUP(H53,eci_admgz_adm1!D:D,eci_admgz_adm1!C:C)</f>
        <v>Azuay</v>
      </c>
      <c r="J53" t="s">
        <v>2021</v>
      </c>
      <c r="K53" s="1" t="s">
        <v>2023</v>
      </c>
    </row>
    <row r="54" spans="1:11" ht="16" x14ac:dyDescent="0.2">
      <c r="A54" t="s">
        <v>106</v>
      </c>
      <c r="B54" t="s">
        <v>107</v>
      </c>
      <c r="C54" t="str">
        <f t="shared" si="1"/>
        <v>El Carmen De Pijilí</v>
      </c>
      <c r="D54" t="str">
        <f t="shared" si="0"/>
        <v>El Carmen de Pijilí</v>
      </c>
      <c r="E54" t="str">
        <f t="shared" si="2"/>
        <v>EC010852</v>
      </c>
      <c r="F54" t="str">
        <f>_xlfn.XLOOKUP(G54,ecu_admgz_adm2!D:D,ecu_admgz_adm2!C:C)</f>
        <v>Santa Isabel</v>
      </c>
      <c r="G54" t="str">
        <f t="shared" si="3"/>
        <v>EC0108</v>
      </c>
      <c r="H54" t="str">
        <f t="shared" si="4"/>
        <v>EC01</v>
      </c>
      <c r="I54" t="str">
        <f>_xlfn.XLOOKUP(H54,eci_admgz_adm1!D:D,eci_admgz_adm1!C:C)</f>
        <v>Azuay</v>
      </c>
      <c r="J54" t="s">
        <v>2021</v>
      </c>
      <c r="K54" s="1" t="s">
        <v>2023</v>
      </c>
    </row>
    <row r="55" spans="1:11" ht="16" x14ac:dyDescent="0.2">
      <c r="A55" t="s">
        <v>108</v>
      </c>
      <c r="B55" t="s">
        <v>109</v>
      </c>
      <c r="C55" t="str">
        <f t="shared" si="1"/>
        <v>Shaglli</v>
      </c>
      <c r="D55" t="str">
        <f t="shared" si="0"/>
        <v>Shaglli</v>
      </c>
      <c r="E55" t="str">
        <f t="shared" si="2"/>
        <v>EC010853</v>
      </c>
      <c r="F55" t="str">
        <f>_xlfn.XLOOKUP(G55,ecu_admgz_adm2!D:D,ecu_admgz_adm2!C:C)</f>
        <v>Santa Isabel</v>
      </c>
      <c r="G55" t="str">
        <f t="shared" si="3"/>
        <v>EC0108</v>
      </c>
      <c r="H55" t="str">
        <f t="shared" si="4"/>
        <v>EC01</v>
      </c>
      <c r="I55" t="str">
        <f>_xlfn.XLOOKUP(H55,eci_admgz_adm1!D:D,eci_admgz_adm1!C:C)</f>
        <v>Azuay</v>
      </c>
      <c r="J55" t="s">
        <v>2021</v>
      </c>
      <c r="K55" s="1" t="s">
        <v>2023</v>
      </c>
    </row>
    <row r="56" spans="1:11" ht="16" x14ac:dyDescent="0.2">
      <c r="A56" t="s">
        <v>110</v>
      </c>
      <c r="B56" t="s">
        <v>111</v>
      </c>
      <c r="C56" t="str">
        <f t="shared" si="1"/>
        <v>San Salvador De Cañaribamba</v>
      </c>
      <c r="D56" t="str">
        <f t="shared" si="0"/>
        <v>San Salvador de Cañaribamba</v>
      </c>
      <c r="E56" t="str">
        <f t="shared" si="2"/>
        <v>EC010854</v>
      </c>
      <c r="F56" t="str">
        <f>_xlfn.XLOOKUP(G56,ecu_admgz_adm2!D:D,ecu_admgz_adm2!C:C)</f>
        <v>Santa Isabel</v>
      </c>
      <c r="G56" t="str">
        <f t="shared" si="3"/>
        <v>EC0108</v>
      </c>
      <c r="H56" t="str">
        <f t="shared" si="4"/>
        <v>EC01</v>
      </c>
      <c r="I56" t="str">
        <f>_xlfn.XLOOKUP(H56,eci_admgz_adm1!D:D,eci_admgz_adm1!C:C)</f>
        <v>Azuay</v>
      </c>
      <c r="J56" t="s">
        <v>2021</v>
      </c>
      <c r="K56" s="1" t="s">
        <v>2023</v>
      </c>
    </row>
    <row r="57" spans="1:11" ht="16" x14ac:dyDescent="0.2">
      <c r="A57" t="s">
        <v>112</v>
      </c>
      <c r="B57" t="s">
        <v>113</v>
      </c>
      <c r="C57" t="str">
        <f t="shared" si="1"/>
        <v>Sígsig</v>
      </c>
      <c r="D57" t="str">
        <f t="shared" si="0"/>
        <v>Sígsig</v>
      </c>
      <c r="E57" t="str">
        <f t="shared" si="2"/>
        <v>EC010950</v>
      </c>
      <c r="F57" t="str">
        <f>_xlfn.XLOOKUP(G57,ecu_admgz_adm2!D:D,ecu_admgz_adm2!C:C)</f>
        <v>Sígsig</v>
      </c>
      <c r="G57" t="str">
        <f t="shared" si="3"/>
        <v>EC0109</v>
      </c>
      <c r="H57" t="str">
        <f t="shared" si="4"/>
        <v>EC01</v>
      </c>
      <c r="I57" t="str">
        <f>_xlfn.XLOOKUP(H57,eci_admgz_adm1!D:D,eci_admgz_adm1!C:C)</f>
        <v>Azuay</v>
      </c>
      <c r="J57" t="s">
        <v>2021</v>
      </c>
      <c r="K57" s="1" t="s">
        <v>2023</v>
      </c>
    </row>
    <row r="58" spans="1:11" ht="16" x14ac:dyDescent="0.2">
      <c r="A58" t="s">
        <v>114</v>
      </c>
      <c r="B58" t="s">
        <v>115</v>
      </c>
      <c r="C58" t="str">
        <f t="shared" si="1"/>
        <v>Cuchil</v>
      </c>
      <c r="D58" t="str">
        <f t="shared" si="0"/>
        <v>Cuchil</v>
      </c>
      <c r="E58" t="str">
        <f t="shared" si="2"/>
        <v>EC010951</v>
      </c>
      <c r="F58" t="str">
        <f>_xlfn.XLOOKUP(G58,ecu_admgz_adm2!D:D,ecu_admgz_adm2!C:C)</f>
        <v>Sígsig</v>
      </c>
      <c r="G58" t="str">
        <f t="shared" si="3"/>
        <v>EC0109</v>
      </c>
      <c r="H58" t="str">
        <f t="shared" si="4"/>
        <v>EC01</v>
      </c>
      <c r="I58" t="str">
        <f>_xlfn.XLOOKUP(H58,eci_admgz_adm1!D:D,eci_admgz_adm1!C:C)</f>
        <v>Azuay</v>
      </c>
      <c r="J58" t="s">
        <v>2021</v>
      </c>
      <c r="K58" s="1" t="s">
        <v>2023</v>
      </c>
    </row>
    <row r="59" spans="1:11" ht="16" x14ac:dyDescent="0.2">
      <c r="A59" t="s">
        <v>116</v>
      </c>
      <c r="B59" t="s">
        <v>117</v>
      </c>
      <c r="C59" t="str">
        <f t="shared" si="1"/>
        <v>Jima</v>
      </c>
      <c r="D59" t="str">
        <f t="shared" si="0"/>
        <v>Jima</v>
      </c>
      <c r="E59" t="str">
        <f t="shared" si="2"/>
        <v>EC010952</v>
      </c>
      <c r="F59" t="str">
        <f>_xlfn.XLOOKUP(G59,ecu_admgz_adm2!D:D,ecu_admgz_adm2!C:C)</f>
        <v>Sígsig</v>
      </c>
      <c r="G59" t="str">
        <f t="shared" si="3"/>
        <v>EC0109</v>
      </c>
      <c r="H59" t="str">
        <f t="shared" si="4"/>
        <v>EC01</v>
      </c>
      <c r="I59" t="str">
        <f>_xlfn.XLOOKUP(H59,eci_admgz_adm1!D:D,eci_admgz_adm1!C:C)</f>
        <v>Azuay</v>
      </c>
      <c r="J59" t="s">
        <v>2021</v>
      </c>
      <c r="K59" s="1" t="s">
        <v>2023</v>
      </c>
    </row>
    <row r="60" spans="1:11" ht="16" x14ac:dyDescent="0.2">
      <c r="A60" t="s">
        <v>118</v>
      </c>
      <c r="B60" t="s">
        <v>119</v>
      </c>
      <c r="C60" t="str">
        <f t="shared" si="1"/>
        <v>Güel</v>
      </c>
      <c r="D60" t="str">
        <f t="shared" si="0"/>
        <v>Güel</v>
      </c>
      <c r="E60" t="str">
        <f t="shared" si="2"/>
        <v>EC010953</v>
      </c>
      <c r="F60" t="str">
        <f>_xlfn.XLOOKUP(G60,ecu_admgz_adm2!D:D,ecu_admgz_adm2!C:C)</f>
        <v>Sígsig</v>
      </c>
      <c r="G60" t="str">
        <f t="shared" si="3"/>
        <v>EC0109</v>
      </c>
      <c r="H60" t="str">
        <f t="shared" si="4"/>
        <v>EC01</v>
      </c>
      <c r="I60" t="str">
        <f>_xlfn.XLOOKUP(H60,eci_admgz_adm1!D:D,eci_admgz_adm1!C:C)</f>
        <v>Azuay</v>
      </c>
      <c r="J60" t="s">
        <v>2021</v>
      </c>
      <c r="K60" s="1" t="s">
        <v>2023</v>
      </c>
    </row>
    <row r="61" spans="1:11" ht="16" x14ac:dyDescent="0.2">
      <c r="A61" t="s">
        <v>120</v>
      </c>
      <c r="B61" t="s">
        <v>121</v>
      </c>
      <c r="C61" t="str">
        <f t="shared" si="1"/>
        <v>Ludo</v>
      </c>
      <c r="D61" t="str">
        <f t="shared" si="0"/>
        <v>Ludo</v>
      </c>
      <c r="E61" t="str">
        <f t="shared" si="2"/>
        <v>EC010954</v>
      </c>
      <c r="F61" t="str">
        <f>_xlfn.XLOOKUP(G61,ecu_admgz_adm2!D:D,ecu_admgz_adm2!C:C)</f>
        <v>Sígsig</v>
      </c>
      <c r="G61" t="str">
        <f t="shared" si="3"/>
        <v>EC0109</v>
      </c>
      <c r="H61" t="str">
        <f t="shared" si="4"/>
        <v>EC01</v>
      </c>
      <c r="I61" t="str">
        <f>_xlfn.XLOOKUP(H61,eci_admgz_adm1!D:D,eci_admgz_adm1!C:C)</f>
        <v>Azuay</v>
      </c>
      <c r="J61" t="s">
        <v>2021</v>
      </c>
      <c r="K61" s="1" t="s">
        <v>2023</v>
      </c>
    </row>
    <row r="62" spans="1:11" ht="16" x14ac:dyDescent="0.2">
      <c r="A62" t="s">
        <v>122</v>
      </c>
      <c r="B62" t="s">
        <v>123</v>
      </c>
      <c r="C62" t="str">
        <f t="shared" si="1"/>
        <v>San Bartolomé</v>
      </c>
      <c r="D62" t="str">
        <f t="shared" si="0"/>
        <v>San Bartolomé</v>
      </c>
      <c r="E62" t="str">
        <f t="shared" si="2"/>
        <v>EC010955</v>
      </c>
      <c r="F62" t="str">
        <f>_xlfn.XLOOKUP(G62,ecu_admgz_adm2!D:D,ecu_admgz_adm2!C:C)</f>
        <v>Sígsig</v>
      </c>
      <c r="G62" t="str">
        <f t="shared" si="3"/>
        <v>EC0109</v>
      </c>
      <c r="H62" t="str">
        <f t="shared" si="4"/>
        <v>EC01</v>
      </c>
      <c r="I62" t="str">
        <f>_xlfn.XLOOKUP(H62,eci_admgz_adm1!D:D,eci_admgz_adm1!C:C)</f>
        <v>Azuay</v>
      </c>
      <c r="J62" t="s">
        <v>2021</v>
      </c>
      <c r="K62" s="1" t="s">
        <v>2023</v>
      </c>
    </row>
    <row r="63" spans="1:11" ht="16" x14ac:dyDescent="0.2">
      <c r="A63" t="s">
        <v>124</v>
      </c>
      <c r="B63" t="s">
        <v>125</v>
      </c>
      <c r="C63" t="str">
        <f t="shared" si="1"/>
        <v>San José De Raranga</v>
      </c>
      <c r="D63" t="str">
        <f t="shared" si="0"/>
        <v>San José de Raranga</v>
      </c>
      <c r="E63" t="str">
        <f t="shared" si="2"/>
        <v>EC010956</v>
      </c>
      <c r="F63" t="str">
        <f>_xlfn.XLOOKUP(G63,ecu_admgz_adm2!D:D,ecu_admgz_adm2!C:C)</f>
        <v>Sígsig</v>
      </c>
      <c r="G63" t="str">
        <f t="shared" si="3"/>
        <v>EC0109</v>
      </c>
      <c r="H63" t="str">
        <f t="shared" si="4"/>
        <v>EC01</v>
      </c>
      <c r="I63" t="str">
        <f>_xlfn.XLOOKUP(H63,eci_admgz_adm1!D:D,eci_admgz_adm1!C:C)</f>
        <v>Azuay</v>
      </c>
      <c r="J63" t="s">
        <v>2021</v>
      </c>
      <c r="K63" s="1" t="s">
        <v>2023</v>
      </c>
    </row>
    <row r="64" spans="1:11" ht="16" x14ac:dyDescent="0.2">
      <c r="A64" t="s">
        <v>126</v>
      </c>
      <c r="B64" t="s">
        <v>127</v>
      </c>
      <c r="C64" t="str">
        <f t="shared" si="1"/>
        <v>San Felipe De Oña</v>
      </c>
      <c r="D64" t="str">
        <f t="shared" si="0"/>
        <v>San Felipe de Oña</v>
      </c>
      <c r="E64" t="str">
        <f t="shared" si="2"/>
        <v>EC011050</v>
      </c>
      <c r="F64" t="str">
        <f>_xlfn.XLOOKUP(G64,ecu_admgz_adm2!D:D,ecu_admgz_adm2!C:C)</f>
        <v>Oña</v>
      </c>
      <c r="G64" t="str">
        <f t="shared" si="3"/>
        <v>EC0110</v>
      </c>
      <c r="H64" t="str">
        <f t="shared" si="4"/>
        <v>EC01</v>
      </c>
      <c r="I64" t="str">
        <f>_xlfn.XLOOKUP(H64,eci_admgz_adm1!D:D,eci_admgz_adm1!C:C)</f>
        <v>Azuay</v>
      </c>
      <c r="J64" t="s">
        <v>2021</v>
      </c>
      <c r="K64" s="1" t="s">
        <v>2023</v>
      </c>
    </row>
    <row r="65" spans="1:11" ht="16" x14ac:dyDescent="0.2">
      <c r="A65" t="s">
        <v>128</v>
      </c>
      <c r="B65" t="s">
        <v>129</v>
      </c>
      <c r="C65" t="str">
        <f t="shared" si="1"/>
        <v>Susudel</v>
      </c>
      <c r="D65" t="str">
        <f t="shared" si="0"/>
        <v>Susudel</v>
      </c>
      <c r="E65" t="str">
        <f t="shared" si="2"/>
        <v>EC011051</v>
      </c>
      <c r="F65" t="str">
        <f>_xlfn.XLOOKUP(G65,ecu_admgz_adm2!D:D,ecu_admgz_adm2!C:C)</f>
        <v>Oña</v>
      </c>
      <c r="G65" t="str">
        <f t="shared" si="3"/>
        <v>EC0110</v>
      </c>
      <c r="H65" t="str">
        <f t="shared" si="4"/>
        <v>EC01</v>
      </c>
      <c r="I65" t="str">
        <f>_xlfn.XLOOKUP(H65,eci_admgz_adm1!D:D,eci_admgz_adm1!C:C)</f>
        <v>Azuay</v>
      </c>
      <c r="J65" t="s">
        <v>2021</v>
      </c>
      <c r="K65" s="1" t="s">
        <v>2023</v>
      </c>
    </row>
    <row r="66" spans="1:11" ht="16" x14ac:dyDescent="0.2">
      <c r="A66" t="s">
        <v>130</v>
      </c>
      <c r="B66" t="s">
        <v>131</v>
      </c>
      <c r="C66" t="str">
        <f t="shared" si="1"/>
        <v>Chordeleg</v>
      </c>
      <c r="D66" t="str">
        <f t="shared" ref="D66:D129" si="5">SUBSTITUTE(SUBSTITUTE(SUBSTITUTE(SUBSTITUTE(SUBSTITUTE(SUBSTITUTE(PROPER($C66)," De "," de ")," La "," la ")," Del "," del ")," Los "," los ")," Y "," y "),"En","en")</f>
        <v>Chordeleg</v>
      </c>
      <c r="E66" t="str">
        <f t="shared" si="2"/>
        <v>EC011150</v>
      </c>
      <c r="F66" t="str">
        <f>_xlfn.XLOOKUP(G66,ecu_admgz_adm2!D:D,ecu_admgz_adm2!C:C)</f>
        <v>Chordeleg</v>
      </c>
      <c r="G66" t="str">
        <f t="shared" si="3"/>
        <v>EC0111</v>
      </c>
      <c r="H66" t="str">
        <f t="shared" si="4"/>
        <v>EC01</v>
      </c>
      <c r="I66" t="str">
        <f>_xlfn.XLOOKUP(H66,eci_admgz_adm1!D:D,eci_admgz_adm1!C:C)</f>
        <v>Azuay</v>
      </c>
      <c r="J66" t="s">
        <v>2021</v>
      </c>
      <c r="K66" s="1" t="s">
        <v>2023</v>
      </c>
    </row>
    <row r="67" spans="1:11" ht="16" x14ac:dyDescent="0.2">
      <c r="A67" t="s">
        <v>132</v>
      </c>
      <c r="B67" t="s">
        <v>133</v>
      </c>
      <c r="C67" t="str">
        <f t="shared" ref="C67:C130" si="6">PROPER(B67)</f>
        <v>Principal</v>
      </c>
      <c r="D67" t="str">
        <f t="shared" si="5"/>
        <v>Principal</v>
      </c>
      <c r="E67" t="str">
        <f t="shared" ref="E67:E130" si="7">"EC"&amp;A67</f>
        <v>EC011151</v>
      </c>
      <c r="F67" t="str">
        <f>_xlfn.XLOOKUP(G67,ecu_admgz_adm2!D:D,ecu_admgz_adm2!C:C)</f>
        <v>Chordeleg</v>
      </c>
      <c r="G67" t="str">
        <f t="shared" ref="G67:G130" si="8">LEFT(E67,6)</f>
        <v>EC0111</v>
      </c>
      <c r="H67" t="str">
        <f t="shared" ref="H67:H130" si="9">LEFT(G67,4)</f>
        <v>EC01</v>
      </c>
      <c r="I67" t="str">
        <f>_xlfn.XLOOKUP(H67,eci_admgz_adm1!D:D,eci_admgz_adm1!C:C)</f>
        <v>Azuay</v>
      </c>
      <c r="J67" t="s">
        <v>2021</v>
      </c>
      <c r="K67" s="1" t="s">
        <v>2023</v>
      </c>
    </row>
    <row r="68" spans="1:11" ht="16" x14ac:dyDescent="0.2">
      <c r="A68" t="s">
        <v>134</v>
      </c>
      <c r="B68" t="s">
        <v>135</v>
      </c>
      <c r="C68" t="str">
        <f t="shared" si="6"/>
        <v>La Unión</v>
      </c>
      <c r="D68" t="str">
        <f t="shared" si="5"/>
        <v>La Unión</v>
      </c>
      <c r="E68" t="str">
        <f t="shared" si="7"/>
        <v>EC011152</v>
      </c>
      <c r="F68" t="str">
        <f>_xlfn.XLOOKUP(G68,ecu_admgz_adm2!D:D,ecu_admgz_adm2!C:C)</f>
        <v>Chordeleg</v>
      </c>
      <c r="G68" t="str">
        <f t="shared" si="8"/>
        <v>EC0111</v>
      </c>
      <c r="H68" t="str">
        <f t="shared" si="9"/>
        <v>EC01</v>
      </c>
      <c r="I68" t="str">
        <f>_xlfn.XLOOKUP(H68,eci_admgz_adm1!D:D,eci_admgz_adm1!C:C)</f>
        <v>Azuay</v>
      </c>
      <c r="J68" t="s">
        <v>2021</v>
      </c>
      <c r="K68" s="1" t="s">
        <v>2023</v>
      </c>
    </row>
    <row r="69" spans="1:11" ht="16" x14ac:dyDescent="0.2">
      <c r="A69" t="s">
        <v>136</v>
      </c>
      <c r="B69" t="s">
        <v>137</v>
      </c>
      <c r="C69" t="str">
        <f t="shared" si="6"/>
        <v>Luis Galarza Orellana</v>
      </c>
      <c r="D69" t="str">
        <f t="shared" si="5"/>
        <v>Luis Galarza Orellana</v>
      </c>
      <c r="E69" t="str">
        <f t="shared" si="7"/>
        <v>EC011153</v>
      </c>
      <c r="F69" t="str">
        <f>_xlfn.XLOOKUP(G69,ecu_admgz_adm2!D:D,ecu_admgz_adm2!C:C)</f>
        <v>Chordeleg</v>
      </c>
      <c r="G69" t="str">
        <f t="shared" si="8"/>
        <v>EC0111</v>
      </c>
      <c r="H69" t="str">
        <f t="shared" si="9"/>
        <v>EC01</v>
      </c>
      <c r="I69" t="str">
        <f>_xlfn.XLOOKUP(H69,eci_admgz_adm1!D:D,eci_admgz_adm1!C:C)</f>
        <v>Azuay</v>
      </c>
      <c r="J69" t="s">
        <v>2021</v>
      </c>
      <c r="K69" s="1" t="s">
        <v>2023</v>
      </c>
    </row>
    <row r="70" spans="1:11" ht="16" x14ac:dyDescent="0.2">
      <c r="A70" t="s">
        <v>138</v>
      </c>
      <c r="B70" t="s">
        <v>139</v>
      </c>
      <c r="C70" t="str">
        <f t="shared" si="6"/>
        <v>San Martín De Puzhio</v>
      </c>
      <c r="D70" t="str">
        <f t="shared" si="5"/>
        <v>San Martín de Puzhio</v>
      </c>
      <c r="E70" t="str">
        <f t="shared" si="7"/>
        <v>EC011154</v>
      </c>
      <c r="F70" t="str">
        <f>_xlfn.XLOOKUP(G70,ecu_admgz_adm2!D:D,ecu_admgz_adm2!C:C)</f>
        <v>Chordeleg</v>
      </c>
      <c r="G70" t="str">
        <f t="shared" si="8"/>
        <v>EC0111</v>
      </c>
      <c r="H70" t="str">
        <f t="shared" si="9"/>
        <v>EC01</v>
      </c>
      <c r="I70" t="str">
        <f>_xlfn.XLOOKUP(H70,eci_admgz_adm1!D:D,eci_admgz_adm1!C:C)</f>
        <v>Azuay</v>
      </c>
      <c r="J70" t="s">
        <v>2021</v>
      </c>
      <c r="K70" s="1" t="s">
        <v>2023</v>
      </c>
    </row>
    <row r="71" spans="1:11" ht="16" x14ac:dyDescent="0.2">
      <c r="A71" t="s">
        <v>140</v>
      </c>
      <c r="B71" t="s">
        <v>141</v>
      </c>
      <c r="C71" t="str">
        <f t="shared" si="6"/>
        <v>El Pan</v>
      </c>
      <c r="D71" t="str">
        <f t="shared" si="5"/>
        <v>El Pan</v>
      </c>
      <c r="E71" t="str">
        <f t="shared" si="7"/>
        <v>EC011250</v>
      </c>
      <c r="F71" t="str">
        <f>_xlfn.XLOOKUP(G71,ecu_admgz_adm2!D:D,ecu_admgz_adm2!C:C)</f>
        <v>El Pan</v>
      </c>
      <c r="G71" t="str">
        <f t="shared" si="8"/>
        <v>EC0112</v>
      </c>
      <c r="H71" t="str">
        <f t="shared" si="9"/>
        <v>EC01</v>
      </c>
      <c r="I71" t="str">
        <f>_xlfn.XLOOKUP(H71,eci_admgz_adm1!D:D,eci_admgz_adm1!C:C)</f>
        <v>Azuay</v>
      </c>
      <c r="J71" t="s">
        <v>2021</v>
      </c>
      <c r="K71" s="1" t="s">
        <v>2023</v>
      </c>
    </row>
    <row r="72" spans="1:11" ht="16" x14ac:dyDescent="0.2">
      <c r="A72" t="s">
        <v>142</v>
      </c>
      <c r="B72" t="s">
        <v>143</v>
      </c>
      <c r="C72" t="str">
        <f t="shared" si="6"/>
        <v>San Vicente</v>
      </c>
      <c r="D72" t="str">
        <f t="shared" si="5"/>
        <v>San Vicente</v>
      </c>
      <c r="E72" t="str">
        <f t="shared" si="7"/>
        <v>EC011253</v>
      </c>
      <c r="F72" t="str">
        <f>_xlfn.XLOOKUP(G72,ecu_admgz_adm2!D:D,ecu_admgz_adm2!C:C)</f>
        <v>El Pan</v>
      </c>
      <c r="G72" t="str">
        <f t="shared" si="8"/>
        <v>EC0112</v>
      </c>
      <c r="H72" t="str">
        <f t="shared" si="9"/>
        <v>EC01</v>
      </c>
      <c r="I72" t="str">
        <f>_xlfn.XLOOKUP(H72,eci_admgz_adm1!D:D,eci_admgz_adm1!C:C)</f>
        <v>Azuay</v>
      </c>
      <c r="J72" t="s">
        <v>2021</v>
      </c>
      <c r="K72" s="1" t="s">
        <v>2023</v>
      </c>
    </row>
    <row r="73" spans="1:11" ht="16" x14ac:dyDescent="0.2">
      <c r="A73" t="s">
        <v>144</v>
      </c>
      <c r="B73" t="s">
        <v>145</v>
      </c>
      <c r="C73" t="str">
        <f t="shared" si="6"/>
        <v>Sevilla De Oro</v>
      </c>
      <c r="D73" t="str">
        <f t="shared" si="5"/>
        <v>Sevilla de Oro</v>
      </c>
      <c r="E73" t="str">
        <f t="shared" si="7"/>
        <v>EC011350</v>
      </c>
      <c r="F73" t="str">
        <f>_xlfn.XLOOKUP(G73,ecu_admgz_adm2!D:D,ecu_admgz_adm2!C:C)</f>
        <v>Sevilla de Oro</v>
      </c>
      <c r="G73" t="str">
        <f t="shared" si="8"/>
        <v>EC0113</v>
      </c>
      <c r="H73" t="str">
        <f t="shared" si="9"/>
        <v>EC01</v>
      </c>
      <c r="I73" t="str">
        <f>_xlfn.XLOOKUP(H73,eci_admgz_adm1!D:D,eci_admgz_adm1!C:C)</f>
        <v>Azuay</v>
      </c>
      <c r="J73" t="s">
        <v>2021</v>
      </c>
      <c r="K73" s="1" t="s">
        <v>2023</v>
      </c>
    </row>
    <row r="74" spans="1:11" ht="16" x14ac:dyDescent="0.2">
      <c r="A74" t="s">
        <v>146</v>
      </c>
      <c r="B74" t="s">
        <v>147</v>
      </c>
      <c r="C74" t="str">
        <f t="shared" si="6"/>
        <v>Amaluza</v>
      </c>
      <c r="D74" t="str">
        <f t="shared" si="5"/>
        <v>Amaluza</v>
      </c>
      <c r="E74" t="str">
        <f t="shared" si="7"/>
        <v>EC011351</v>
      </c>
      <c r="F74" t="str">
        <f>_xlfn.XLOOKUP(G74,ecu_admgz_adm2!D:D,ecu_admgz_adm2!C:C)</f>
        <v>Sevilla de Oro</v>
      </c>
      <c r="G74" t="str">
        <f t="shared" si="8"/>
        <v>EC0113</v>
      </c>
      <c r="H74" t="str">
        <f t="shared" si="9"/>
        <v>EC01</v>
      </c>
      <c r="I74" t="str">
        <f>_xlfn.XLOOKUP(H74,eci_admgz_adm1!D:D,eci_admgz_adm1!C:C)</f>
        <v>Azuay</v>
      </c>
      <c r="J74" t="s">
        <v>2021</v>
      </c>
      <c r="K74" s="1" t="s">
        <v>2023</v>
      </c>
    </row>
    <row r="75" spans="1:11" ht="16" x14ac:dyDescent="0.2">
      <c r="A75" t="s">
        <v>148</v>
      </c>
      <c r="B75" t="s">
        <v>149</v>
      </c>
      <c r="C75" t="str">
        <f t="shared" si="6"/>
        <v>Palmas</v>
      </c>
      <c r="D75" t="str">
        <f t="shared" si="5"/>
        <v>Palmas</v>
      </c>
      <c r="E75" t="str">
        <f t="shared" si="7"/>
        <v>EC011352</v>
      </c>
      <c r="F75" t="str">
        <f>_xlfn.XLOOKUP(G75,ecu_admgz_adm2!D:D,ecu_admgz_adm2!C:C)</f>
        <v>Sevilla de Oro</v>
      </c>
      <c r="G75" t="str">
        <f t="shared" si="8"/>
        <v>EC0113</v>
      </c>
      <c r="H75" t="str">
        <f t="shared" si="9"/>
        <v>EC01</v>
      </c>
      <c r="I75" t="str">
        <f>_xlfn.XLOOKUP(H75,eci_admgz_adm1!D:D,eci_admgz_adm1!C:C)</f>
        <v>Azuay</v>
      </c>
      <c r="J75" t="s">
        <v>2021</v>
      </c>
      <c r="K75" s="1" t="s">
        <v>2023</v>
      </c>
    </row>
    <row r="76" spans="1:11" ht="16" x14ac:dyDescent="0.2">
      <c r="A76" t="s">
        <v>150</v>
      </c>
      <c r="B76" t="s">
        <v>151</v>
      </c>
      <c r="C76" t="str">
        <f t="shared" si="6"/>
        <v>Guachapala</v>
      </c>
      <c r="D76" t="str">
        <f t="shared" si="5"/>
        <v>Guachapala</v>
      </c>
      <c r="E76" t="str">
        <f t="shared" si="7"/>
        <v>EC011450</v>
      </c>
      <c r="F76" t="str">
        <f>_xlfn.XLOOKUP(G76,ecu_admgz_adm2!D:D,ecu_admgz_adm2!C:C)</f>
        <v>Guachapala</v>
      </c>
      <c r="G76" t="str">
        <f t="shared" si="8"/>
        <v>EC0114</v>
      </c>
      <c r="H76" t="str">
        <f t="shared" si="9"/>
        <v>EC01</v>
      </c>
      <c r="I76" t="str">
        <f>_xlfn.XLOOKUP(H76,eci_admgz_adm1!D:D,eci_admgz_adm1!C:C)</f>
        <v>Azuay</v>
      </c>
      <c r="J76" t="s">
        <v>2021</v>
      </c>
      <c r="K76" s="1" t="s">
        <v>2023</v>
      </c>
    </row>
    <row r="77" spans="1:11" ht="16" x14ac:dyDescent="0.2">
      <c r="A77" t="s">
        <v>152</v>
      </c>
      <c r="B77" t="s">
        <v>153</v>
      </c>
      <c r="C77" t="str">
        <f t="shared" si="6"/>
        <v>Camilo Ponce Enríquez</v>
      </c>
      <c r="D77" t="str">
        <f t="shared" si="5"/>
        <v>Camilo Ponce enríquez</v>
      </c>
      <c r="E77" t="str">
        <f t="shared" si="7"/>
        <v>EC011550</v>
      </c>
      <c r="F77" t="str">
        <f>_xlfn.XLOOKUP(G77,ecu_admgz_adm2!D:D,ecu_admgz_adm2!C:C)</f>
        <v>Camilo Ponce enríquez</v>
      </c>
      <c r="G77" t="str">
        <f t="shared" si="8"/>
        <v>EC0115</v>
      </c>
      <c r="H77" t="str">
        <f t="shared" si="9"/>
        <v>EC01</v>
      </c>
      <c r="I77" t="str">
        <f>_xlfn.XLOOKUP(H77,eci_admgz_adm1!D:D,eci_admgz_adm1!C:C)</f>
        <v>Azuay</v>
      </c>
      <c r="J77" t="s">
        <v>2021</v>
      </c>
      <c r="K77" s="1" t="s">
        <v>2023</v>
      </c>
    </row>
    <row r="78" spans="1:11" ht="16" x14ac:dyDescent="0.2">
      <c r="A78" t="s">
        <v>154</v>
      </c>
      <c r="B78" t="s">
        <v>155</v>
      </c>
      <c r="C78" t="str">
        <f t="shared" si="6"/>
        <v>Guaranda</v>
      </c>
      <c r="D78" t="str">
        <f t="shared" si="5"/>
        <v>Guaranda</v>
      </c>
      <c r="E78" t="str">
        <f t="shared" si="7"/>
        <v>EC020150</v>
      </c>
      <c r="F78" t="str">
        <f>_xlfn.XLOOKUP(G78,ecu_admgz_adm2!D:D,ecu_admgz_adm2!C:C)</f>
        <v>Guaranda</v>
      </c>
      <c r="G78" t="str">
        <f t="shared" si="8"/>
        <v>EC0201</v>
      </c>
      <c r="H78" t="str">
        <f t="shared" si="9"/>
        <v>EC02</v>
      </c>
      <c r="I78" t="str">
        <f>_xlfn.XLOOKUP(H78,eci_admgz_adm1!D:D,eci_admgz_adm1!C:C)</f>
        <v>Bolívar</v>
      </c>
      <c r="J78" t="s">
        <v>2021</v>
      </c>
      <c r="K78" s="1" t="s">
        <v>2023</v>
      </c>
    </row>
    <row r="79" spans="1:11" ht="16" x14ac:dyDescent="0.2">
      <c r="A79" t="s">
        <v>157</v>
      </c>
      <c r="B79" t="s">
        <v>158</v>
      </c>
      <c r="C79" t="str">
        <f t="shared" si="6"/>
        <v>Facundo Vela</v>
      </c>
      <c r="D79" t="str">
        <f t="shared" si="5"/>
        <v>Facundo Vela</v>
      </c>
      <c r="E79" t="str">
        <f t="shared" si="7"/>
        <v>EC020151</v>
      </c>
      <c r="F79" t="str">
        <f>_xlfn.XLOOKUP(G79,ecu_admgz_adm2!D:D,ecu_admgz_adm2!C:C)</f>
        <v>Guaranda</v>
      </c>
      <c r="G79" t="str">
        <f t="shared" si="8"/>
        <v>EC0201</v>
      </c>
      <c r="H79" t="str">
        <f t="shared" si="9"/>
        <v>EC02</v>
      </c>
      <c r="I79" t="str">
        <f>_xlfn.XLOOKUP(H79,eci_admgz_adm1!D:D,eci_admgz_adm1!C:C)</f>
        <v>Bolívar</v>
      </c>
      <c r="J79" t="s">
        <v>2021</v>
      </c>
      <c r="K79" s="1" t="s">
        <v>2023</v>
      </c>
    </row>
    <row r="80" spans="1:11" ht="16" x14ac:dyDescent="0.2">
      <c r="A80" t="s">
        <v>159</v>
      </c>
      <c r="B80" t="s">
        <v>160</v>
      </c>
      <c r="C80" t="str">
        <f t="shared" si="6"/>
        <v>Julio E. Moreno</v>
      </c>
      <c r="D80" t="str">
        <f t="shared" si="5"/>
        <v>Julio E. Moreno</v>
      </c>
      <c r="E80" t="str">
        <f t="shared" si="7"/>
        <v>EC020153</v>
      </c>
      <c r="F80" t="str">
        <f>_xlfn.XLOOKUP(G80,ecu_admgz_adm2!D:D,ecu_admgz_adm2!C:C)</f>
        <v>Guaranda</v>
      </c>
      <c r="G80" t="str">
        <f t="shared" si="8"/>
        <v>EC0201</v>
      </c>
      <c r="H80" t="str">
        <f t="shared" si="9"/>
        <v>EC02</v>
      </c>
      <c r="I80" t="str">
        <f>_xlfn.XLOOKUP(H80,eci_admgz_adm1!D:D,eci_admgz_adm1!C:C)</f>
        <v>Bolívar</v>
      </c>
      <c r="J80" t="s">
        <v>2021</v>
      </c>
      <c r="K80" s="1" t="s">
        <v>2023</v>
      </c>
    </row>
    <row r="81" spans="1:11" ht="16" x14ac:dyDescent="0.2">
      <c r="A81" t="s">
        <v>161</v>
      </c>
      <c r="B81" t="s">
        <v>162</v>
      </c>
      <c r="C81" t="str">
        <f t="shared" si="6"/>
        <v>Salinas</v>
      </c>
      <c r="D81" t="str">
        <f t="shared" si="5"/>
        <v>Salinas</v>
      </c>
      <c r="E81" t="str">
        <f t="shared" si="7"/>
        <v>EC020155</v>
      </c>
      <c r="F81" t="str">
        <f>_xlfn.XLOOKUP(G81,ecu_admgz_adm2!D:D,ecu_admgz_adm2!C:C)</f>
        <v>Guaranda</v>
      </c>
      <c r="G81" t="str">
        <f t="shared" si="8"/>
        <v>EC0201</v>
      </c>
      <c r="H81" t="str">
        <f t="shared" si="9"/>
        <v>EC02</v>
      </c>
      <c r="I81" t="str">
        <f>_xlfn.XLOOKUP(H81,eci_admgz_adm1!D:D,eci_admgz_adm1!C:C)</f>
        <v>Bolívar</v>
      </c>
      <c r="J81" t="s">
        <v>2021</v>
      </c>
      <c r="K81" s="1" t="s">
        <v>2023</v>
      </c>
    </row>
    <row r="82" spans="1:11" ht="16" x14ac:dyDescent="0.2">
      <c r="A82" t="s">
        <v>163</v>
      </c>
      <c r="B82" t="s">
        <v>164</v>
      </c>
      <c r="C82" t="str">
        <f t="shared" si="6"/>
        <v>San Lorenzo</v>
      </c>
      <c r="D82" t="str">
        <f t="shared" si="5"/>
        <v>San Lorenzo</v>
      </c>
      <c r="E82" t="str">
        <f t="shared" si="7"/>
        <v>EC020156</v>
      </c>
      <c r="F82" t="str">
        <f>_xlfn.XLOOKUP(G82,ecu_admgz_adm2!D:D,ecu_admgz_adm2!C:C)</f>
        <v>Guaranda</v>
      </c>
      <c r="G82" t="str">
        <f t="shared" si="8"/>
        <v>EC0201</v>
      </c>
      <c r="H82" t="str">
        <f t="shared" si="9"/>
        <v>EC02</v>
      </c>
      <c r="I82" t="str">
        <f>_xlfn.XLOOKUP(H82,eci_admgz_adm1!D:D,eci_admgz_adm1!C:C)</f>
        <v>Bolívar</v>
      </c>
      <c r="J82" t="s">
        <v>2021</v>
      </c>
      <c r="K82" s="1" t="s">
        <v>2023</v>
      </c>
    </row>
    <row r="83" spans="1:11" ht="16" x14ac:dyDescent="0.2">
      <c r="A83" t="s">
        <v>165</v>
      </c>
      <c r="B83" t="s">
        <v>166</v>
      </c>
      <c r="C83" t="str">
        <f t="shared" si="6"/>
        <v>San Simón</v>
      </c>
      <c r="D83" t="str">
        <f t="shared" si="5"/>
        <v>San Simón</v>
      </c>
      <c r="E83" t="str">
        <f t="shared" si="7"/>
        <v>EC020157</v>
      </c>
      <c r="F83" t="str">
        <f>_xlfn.XLOOKUP(G83,ecu_admgz_adm2!D:D,ecu_admgz_adm2!C:C)</f>
        <v>Guaranda</v>
      </c>
      <c r="G83" t="str">
        <f t="shared" si="8"/>
        <v>EC0201</v>
      </c>
      <c r="H83" t="str">
        <f t="shared" si="9"/>
        <v>EC02</v>
      </c>
      <c r="I83" t="str">
        <f>_xlfn.XLOOKUP(H83,eci_admgz_adm1!D:D,eci_admgz_adm1!C:C)</f>
        <v>Bolívar</v>
      </c>
      <c r="J83" t="s">
        <v>2021</v>
      </c>
      <c r="K83" s="1" t="s">
        <v>2023</v>
      </c>
    </row>
    <row r="84" spans="1:11" ht="16" x14ac:dyDescent="0.2">
      <c r="A84" t="s">
        <v>167</v>
      </c>
      <c r="B84" t="s">
        <v>168</v>
      </c>
      <c r="C84" t="str">
        <f t="shared" si="6"/>
        <v>Santa Fe</v>
      </c>
      <c r="D84" t="str">
        <f t="shared" si="5"/>
        <v>Santa Fe</v>
      </c>
      <c r="E84" t="str">
        <f t="shared" si="7"/>
        <v>EC020158</v>
      </c>
      <c r="F84" t="str">
        <f>_xlfn.XLOOKUP(G84,ecu_admgz_adm2!D:D,ecu_admgz_adm2!C:C)</f>
        <v>Guaranda</v>
      </c>
      <c r="G84" t="str">
        <f t="shared" si="8"/>
        <v>EC0201</v>
      </c>
      <c r="H84" t="str">
        <f t="shared" si="9"/>
        <v>EC02</v>
      </c>
      <c r="I84" t="str">
        <f>_xlfn.XLOOKUP(H84,eci_admgz_adm1!D:D,eci_admgz_adm1!C:C)</f>
        <v>Bolívar</v>
      </c>
      <c r="J84" t="s">
        <v>2021</v>
      </c>
      <c r="K84" s="1" t="s">
        <v>2023</v>
      </c>
    </row>
    <row r="85" spans="1:11" ht="16" x14ac:dyDescent="0.2">
      <c r="A85" t="s">
        <v>169</v>
      </c>
      <c r="B85" t="s">
        <v>170</v>
      </c>
      <c r="C85" t="str">
        <f t="shared" si="6"/>
        <v>Simiátug</v>
      </c>
      <c r="D85" t="str">
        <f t="shared" si="5"/>
        <v>Simiátug</v>
      </c>
      <c r="E85" t="str">
        <f t="shared" si="7"/>
        <v>EC020159</v>
      </c>
      <c r="F85" t="str">
        <f>_xlfn.XLOOKUP(G85,ecu_admgz_adm2!D:D,ecu_admgz_adm2!C:C)</f>
        <v>Guaranda</v>
      </c>
      <c r="G85" t="str">
        <f t="shared" si="8"/>
        <v>EC0201</v>
      </c>
      <c r="H85" t="str">
        <f t="shared" si="9"/>
        <v>EC02</v>
      </c>
      <c r="I85" t="str">
        <f>_xlfn.XLOOKUP(H85,eci_admgz_adm1!D:D,eci_admgz_adm1!C:C)</f>
        <v>Bolívar</v>
      </c>
      <c r="J85" t="s">
        <v>2021</v>
      </c>
      <c r="K85" s="1" t="s">
        <v>2023</v>
      </c>
    </row>
    <row r="86" spans="1:11" ht="16" x14ac:dyDescent="0.2">
      <c r="A86" t="s">
        <v>171</v>
      </c>
      <c r="B86" t="s">
        <v>172</v>
      </c>
      <c r="C86" t="str">
        <f t="shared" si="6"/>
        <v>San Luis De Pambil</v>
      </c>
      <c r="D86" t="str">
        <f t="shared" si="5"/>
        <v>San Luis de Pambil</v>
      </c>
      <c r="E86" t="str">
        <f t="shared" si="7"/>
        <v>EC020160</v>
      </c>
      <c r="F86" t="str">
        <f>_xlfn.XLOOKUP(G86,ecu_admgz_adm2!D:D,ecu_admgz_adm2!C:C)</f>
        <v>Guaranda</v>
      </c>
      <c r="G86" t="str">
        <f t="shared" si="8"/>
        <v>EC0201</v>
      </c>
      <c r="H86" t="str">
        <f t="shared" si="9"/>
        <v>EC02</v>
      </c>
      <c r="I86" t="str">
        <f>_xlfn.XLOOKUP(H86,eci_admgz_adm1!D:D,eci_admgz_adm1!C:C)</f>
        <v>Bolívar</v>
      </c>
      <c r="J86" t="s">
        <v>2021</v>
      </c>
      <c r="K86" s="1" t="s">
        <v>2023</v>
      </c>
    </row>
    <row r="87" spans="1:11" ht="16" x14ac:dyDescent="0.2">
      <c r="A87" t="s">
        <v>173</v>
      </c>
      <c r="B87" t="s">
        <v>174</v>
      </c>
      <c r="C87" t="str">
        <f t="shared" si="6"/>
        <v>Chillanes</v>
      </c>
      <c r="D87" t="str">
        <f t="shared" si="5"/>
        <v>Chillanes</v>
      </c>
      <c r="E87" t="str">
        <f t="shared" si="7"/>
        <v>EC020250</v>
      </c>
      <c r="F87" t="str">
        <f>_xlfn.XLOOKUP(G87,ecu_admgz_adm2!D:D,ecu_admgz_adm2!C:C)</f>
        <v>Chillanes</v>
      </c>
      <c r="G87" t="str">
        <f t="shared" si="8"/>
        <v>EC0202</v>
      </c>
      <c r="H87" t="str">
        <f t="shared" si="9"/>
        <v>EC02</v>
      </c>
      <c r="I87" t="str">
        <f>_xlfn.XLOOKUP(H87,eci_admgz_adm1!D:D,eci_admgz_adm1!C:C)</f>
        <v>Bolívar</v>
      </c>
      <c r="J87" t="s">
        <v>2021</v>
      </c>
      <c r="K87" s="1" t="s">
        <v>2023</v>
      </c>
    </row>
    <row r="88" spans="1:11" ht="16" x14ac:dyDescent="0.2">
      <c r="A88" t="s">
        <v>175</v>
      </c>
      <c r="B88" t="s">
        <v>176</v>
      </c>
      <c r="C88" t="str">
        <f t="shared" si="6"/>
        <v>San José Del Tambo</v>
      </c>
      <c r="D88" t="str">
        <f t="shared" si="5"/>
        <v>San José del Tambo</v>
      </c>
      <c r="E88" t="str">
        <f t="shared" si="7"/>
        <v>EC020251</v>
      </c>
      <c r="F88" t="str">
        <f>_xlfn.XLOOKUP(G88,ecu_admgz_adm2!D:D,ecu_admgz_adm2!C:C)</f>
        <v>Chillanes</v>
      </c>
      <c r="G88" t="str">
        <f t="shared" si="8"/>
        <v>EC0202</v>
      </c>
      <c r="H88" t="str">
        <f t="shared" si="9"/>
        <v>EC02</v>
      </c>
      <c r="I88" t="str">
        <f>_xlfn.XLOOKUP(H88,eci_admgz_adm1!D:D,eci_admgz_adm1!C:C)</f>
        <v>Bolívar</v>
      </c>
      <c r="J88" t="s">
        <v>2021</v>
      </c>
      <c r="K88" s="1" t="s">
        <v>2023</v>
      </c>
    </row>
    <row r="89" spans="1:11" ht="16" x14ac:dyDescent="0.2">
      <c r="A89" t="s">
        <v>177</v>
      </c>
      <c r="B89" t="s">
        <v>178</v>
      </c>
      <c r="C89" t="str">
        <f t="shared" si="6"/>
        <v>San José De Chimbo</v>
      </c>
      <c r="D89" t="str">
        <f t="shared" si="5"/>
        <v>San José de Chimbo</v>
      </c>
      <c r="E89" t="str">
        <f t="shared" si="7"/>
        <v>EC020350</v>
      </c>
      <c r="F89" t="str">
        <f>_xlfn.XLOOKUP(G89,ecu_admgz_adm2!D:D,ecu_admgz_adm2!C:C)</f>
        <v>Chimbo</v>
      </c>
      <c r="G89" t="str">
        <f t="shared" si="8"/>
        <v>EC0203</v>
      </c>
      <c r="H89" t="str">
        <f t="shared" si="9"/>
        <v>EC02</v>
      </c>
      <c r="I89" t="str">
        <f>_xlfn.XLOOKUP(H89,eci_admgz_adm1!D:D,eci_admgz_adm1!C:C)</f>
        <v>Bolívar</v>
      </c>
      <c r="J89" t="s">
        <v>2021</v>
      </c>
      <c r="K89" s="1" t="s">
        <v>2023</v>
      </c>
    </row>
    <row r="90" spans="1:11" ht="16" x14ac:dyDescent="0.2">
      <c r="A90" t="s">
        <v>179</v>
      </c>
      <c r="B90" t="s">
        <v>180</v>
      </c>
      <c r="C90" t="str">
        <f t="shared" si="6"/>
        <v>Asunción</v>
      </c>
      <c r="D90" t="str">
        <f t="shared" si="5"/>
        <v>Asunción</v>
      </c>
      <c r="E90" t="str">
        <f t="shared" si="7"/>
        <v>EC020351</v>
      </c>
      <c r="F90" t="str">
        <f>_xlfn.XLOOKUP(G90,ecu_admgz_adm2!D:D,ecu_admgz_adm2!C:C)</f>
        <v>Chimbo</v>
      </c>
      <c r="G90" t="str">
        <f t="shared" si="8"/>
        <v>EC0203</v>
      </c>
      <c r="H90" t="str">
        <f t="shared" si="9"/>
        <v>EC02</v>
      </c>
      <c r="I90" t="str">
        <f>_xlfn.XLOOKUP(H90,eci_admgz_adm1!D:D,eci_admgz_adm1!C:C)</f>
        <v>Bolívar</v>
      </c>
      <c r="J90" t="s">
        <v>2021</v>
      </c>
      <c r="K90" s="1" t="s">
        <v>2023</v>
      </c>
    </row>
    <row r="91" spans="1:11" ht="16" x14ac:dyDescent="0.2">
      <c r="A91" t="s">
        <v>181</v>
      </c>
      <c r="B91" t="s">
        <v>182</v>
      </c>
      <c r="C91" t="str">
        <f t="shared" si="6"/>
        <v>La Magdalena</v>
      </c>
      <c r="D91" t="str">
        <f t="shared" si="5"/>
        <v>La Magdalena</v>
      </c>
      <c r="E91" t="str">
        <f t="shared" si="7"/>
        <v>EC020353</v>
      </c>
      <c r="F91" t="str">
        <f>_xlfn.XLOOKUP(G91,ecu_admgz_adm2!D:D,ecu_admgz_adm2!C:C)</f>
        <v>Chimbo</v>
      </c>
      <c r="G91" t="str">
        <f t="shared" si="8"/>
        <v>EC0203</v>
      </c>
      <c r="H91" t="str">
        <f t="shared" si="9"/>
        <v>EC02</v>
      </c>
      <c r="I91" t="str">
        <f>_xlfn.XLOOKUP(H91,eci_admgz_adm1!D:D,eci_admgz_adm1!C:C)</f>
        <v>Bolívar</v>
      </c>
      <c r="J91" t="s">
        <v>2021</v>
      </c>
      <c r="K91" s="1" t="s">
        <v>2023</v>
      </c>
    </row>
    <row r="92" spans="1:11" ht="16" x14ac:dyDescent="0.2">
      <c r="A92" t="s">
        <v>183</v>
      </c>
      <c r="B92" t="s">
        <v>184</v>
      </c>
      <c r="C92" t="str">
        <f t="shared" si="6"/>
        <v>San Sebastián</v>
      </c>
      <c r="D92" t="str">
        <f t="shared" si="5"/>
        <v>San Sebastián</v>
      </c>
      <c r="E92" t="str">
        <f t="shared" si="7"/>
        <v>EC020354</v>
      </c>
      <c r="F92" t="str">
        <f>_xlfn.XLOOKUP(G92,ecu_admgz_adm2!D:D,ecu_admgz_adm2!C:C)</f>
        <v>Chimbo</v>
      </c>
      <c r="G92" t="str">
        <f t="shared" si="8"/>
        <v>EC0203</v>
      </c>
      <c r="H92" t="str">
        <f t="shared" si="9"/>
        <v>EC02</v>
      </c>
      <c r="I92" t="str">
        <f>_xlfn.XLOOKUP(H92,eci_admgz_adm1!D:D,eci_admgz_adm1!C:C)</f>
        <v>Bolívar</v>
      </c>
      <c r="J92" t="s">
        <v>2021</v>
      </c>
      <c r="K92" s="1" t="s">
        <v>2023</v>
      </c>
    </row>
    <row r="93" spans="1:11" ht="16" x14ac:dyDescent="0.2">
      <c r="A93" t="s">
        <v>185</v>
      </c>
      <c r="B93" t="s">
        <v>186</v>
      </c>
      <c r="C93" t="str">
        <f t="shared" si="6"/>
        <v>Telimbela</v>
      </c>
      <c r="D93" t="str">
        <f t="shared" si="5"/>
        <v>Telimbela</v>
      </c>
      <c r="E93" t="str">
        <f t="shared" si="7"/>
        <v>EC020355</v>
      </c>
      <c r="F93" t="str">
        <f>_xlfn.XLOOKUP(G93,ecu_admgz_adm2!D:D,ecu_admgz_adm2!C:C)</f>
        <v>Chimbo</v>
      </c>
      <c r="G93" t="str">
        <f t="shared" si="8"/>
        <v>EC0203</v>
      </c>
      <c r="H93" t="str">
        <f t="shared" si="9"/>
        <v>EC02</v>
      </c>
      <c r="I93" t="str">
        <f>_xlfn.XLOOKUP(H93,eci_admgz_adm1!D:D,eci_admgz_adm1!C:C)</f>
        <v>Bolívar</v>
      </c>
      <c r="J93" t="s">
        <v>2021</v>
      </c>
      <c r="K93" s="1" t="s">
        <v>2023</v>
      </c>
    </row>
    <row r="94" spans="1:11" ht="16" x14ac:dyDescent="0.2">
      <c r="A94" t="s">
        <v>187</v>
      </c>
      <c r="B94" t="s">
        <v>188</v>
      </c>
      <c r="C94" t="str">
        <f t="shared" si="6"/>
        <v>Echeandía</v>
      </c>
      <c r="D94" t="str">
        <f t="shared" si="5"/>
        <v>Echeandía</v>
      </c>
      <c r="E94" t="str">
        <f t="shared" si="7"/>
        <v>EC020450</v>
      </c>
      <c r="F94" t="str">
        <f>_xlfn.XLOOKUP(G94,ecu_admgz_adm2!D:D,ecu_admgz_adm2!C:C)</f>
        <v>Echeandía</v>
      </c>
      <c r="G94" t="str">
        <f t="shared" si="8"/>
        <v>EC0204</v>
      </c>
      <c r="H94" t="str">
        <f t="shared" si="9"/>
        <v>EC02</v>
      </c>
      <c r="I94" t="str">
        <f>_xlfn.XLOOKUP(H94,eci_admgz_adm1!D:D,eci_admgz_adm1!C:C)</f>
        <v>Bolívar</v>
      </c>
      <c r="J94" t="s">
        <v>2021</v>
      </c>
      <c r="K94" s="1" t="s">
        <v>2023</v>
      </c>
    </row>
    <row r="95" spans="1:11" ht="16" x14ac:dyDescent="0.2">
      <c r="A95" t="s">
        <v>189</v>
      </c>
      <c r="B95" t="s">
        <v>190</v>
      </c>
      <c r="C95" t="str">
        <f t="shared" si="6"/>
        <v>San Miguel</v>
      </c>
      <c r="D95" t="str">
        <f t="shared" si="5"/>
        <v>San Miguel</v>
      </c>
      <c r="E95" t="str">
        <f t="shared" si="7"/>
        <v>EC020550</v>
      </c>
      <c r="F95" t="str">
        <f>_xlfn.XLOOKUP(G95,ecu_admgz_adm2!D:D,ecu_admgz_adm2!C:C)</f>
        <v>San Miguel</v>
      </c>
      <c r="G95" t="str">
        <f t="shared" si="8"/>
        <v>EC0205</v>
      </c>
      <c r="H95" t="str">
        <f t="shared" si="9"/>
        <v>EC02</v>
      </c>
      <c r="I95" t="str">
        <f>_xlfn.XLOOKUP(H95,eci_admgz_adm1!D:D,eci_admgz_adm1!C:C)</f>
        <v>Bolívar</v>
      </c>
      <c r="J95" t="s">
        <v>2021</v>
      </c>
      <c r="K95" s="1" t="s">
        <v>2023</v>
      </c>
    </row>
    <row r="96" spans="1:11" ht="16" x14ac:dyDescent="0.2">
      <c r="A96" t="s">
        <v>191</v>
      </c>
      <c r="B96" t="s">
        <v>192</v>
      </c>
      <c r="C96" t="str">
        <f t="shared" si="6"/>
        <v>Balsapamba</v>
      </c>
      <c r="D96" t="str">
        <f t="shared" si="5"/>
        <v>Balsapamba</v>
      </c>
      <c r="E96" t="str">
        <f t="shared" si="7"/>
        <v>EC020551</v>
      </c>
      <c r="F96" t="str">
        <f>_xlfn.XLOOKUP(G96,ecu_admgz_adm2!D:D,ecu_admgz_adm2!C:C)</f>
        <v>San Miguel</v>
      </c>
      <c r="G96" t="str">
        <f t="shared" si="8"/>
        <v>EC0205</v>
      </c>
      <c r="H96" t="str">
        <f t="shared" si="9"/>
        <v>EC02</v>
      </c>
      <c r="I96" t="str">
        <f>_xlfn.XLOOKUP(H96,eci_admgz_adm1!D:D,eci_admgz_adm1!C:C)</f>
        <v>Bolívar</v>
      </c>
      <c r="J96" t="s">
        <v>2021</v>
      </c>
      <c r="K96" s="1" t="s">
        <v>2023</v>
      </c>
    </row>
    <row r="97" spans="1:11" ht="16" x14ac:dyDescent="0.2">
      <c r="A97" t="s">
        <v>193</v>
      </c>
      <c r="B97" t="s">
        <v>194</v>
      </c>
      <c r="C97" t="str">
        <f t="shared" si="6"/>
        <v>Bilován</v>
      </c>
      <c r="D97" t="str">
        <f t="shared" si="5"/>
        <v>Bilován</v>
      </c>
      <c r="E97" t="str">
        <f t="shared" si="7"/>
        <v>EC020552</v>
      </c>
      <c r="F97" t="str">
        <f>_xlfn.XLOOKUP(G97,ecu_admgz_adm2!D:D,ecu_admgz_adm2!C:C)</f>
        <v>San Miguel</v>
      </c>
      <c r="G97" t="str">
        <f t="shared" si="8"/>
        <v>EC0205</v>
      </c>
      <c r="H97" t="str">
        <f t="shared" si="9"/>
        <v>EC02</v>
      </c>
      <c r="I97" t="str">
        <f>_xlfn.XLOOKUP(H97,eci_admgz_adm1!D:D,eci_admgz_adm1!C:C)</f>
        <v>Bolívar</v>
      </c>
      <c r="J97" t="s">
        <v>2021</v>
      </c>
      <c r="K97" s="1" t="s">
        <v>2023</v>
      </c>
    </row>
    <row r="98" spans="1:11" ht="16" x14ac:dyDescent="0.2">
      <c r="A98" t="s">
        <v>195</v>
      </c>
      <c r="B98" t="s">
        <v>196</v>
      </c>
      <c r="C98" t="str">
        <f t="shared" si="6"/>
        <v>Régulo De Mora</v>
      </c>
      <c r="D98" t="str">
        <f t="shared" si="5"/>
        <v>Régulo de Mora</v>
      </c>
      <c r="E98" t="str">
        <f t="shared" si="7"/>
        <v>EC020553</v>
      </c>
      <c r="F98" t="str">
        <f>_xlfn.XLOOKUP(G98,ecu_admgz_adm2!D:D,ecu_admgz_adm2!C:C)</f>
        <v>San Miguel</v>
      </c>
      <c r="G98" t="str">
        <f t="shared" si="8"/>
        <v>EC0205</v>
      </c>
      <c r="H98" t="str">
        <f t="shared" si="9"/>
        <v>EC02</v>
      </c>
      <c r="I98" t="str">
        <f>_xlfn.XLOOKUP(H98,eci_admgz_adm1!D:D,eci_admgz_adm1!C:C)</f>
        <v>Bolívar</v>
      </c>
      <c r="J98" t="s">
        <v>2021</v>
      </c>
      <c r="K98" s="1" t="s">
        <v>2023</v>
      </c>
    </row>
    <row r="99" spans="1:11" ht="16" x14ac:dyDescent="0.2">
      <c r="A99" t="s">
        <v>197</v>
      </c>
      <c r="B99" t="s">
        <v>198</v>
      </c>
      <c r="C99" t="str">
        <f t="shared" si="6"/>
        <v>San Pablo</v>
      </c>
      <c r="D99" t="str">
        <f t="shared" si="5"/>
        <v>San Pablo</v>
      </c>
      <c r="E99" t="str">
        <f t="shared" si="7"/>
        <v>EC020554</v>
      </c>
      <c r="F99" t="str">
        <f>_xlfn.XLOOKUP(G99,ecu_admgz_adm2!D:D,ecu_admgz_adm2!C:C)</f>
        <v>San Miguel</v>
      </c>
      <c r="G99" t="str">
        <f t="shared" si="8"/>
        <v>EC0205</v>
      </c>
      <c r="H99" t="str">
        <f t="shared" si="9"/>
        <v>EC02</v>
      </c>
      <c r="I99" t="str">
        <f>_xlfn.XLOOKUP(H99,eci_admgz_adm1!D:D,eci_admgz_adm1!C:C)</f>
        <v>Bolívar</v>
      </c>
      <c r="J99" t="s">
        <v>2021</v>
      </c>
      <c r="K99" s="1" t="s">
        <v>2023</v>
      </c>
    </row>
    <row r="100" spans="1:11" ht="16" x14ac:dyDescent="0.2">
      <c r="A100" t="s">
        <v>199</v>
      </c>
      <c r="B100" t="s">
        <v>200</v>
      </c>
      <c r="C100" t="str">
        <f t="shared" si="6"/>
        <v>Santiago</v>
      </c>
      <c r="D100" t="str">
        <f t="shared" si="5"/>
        <v>Santiago</v>
      </c>
      <c r="E100" t="str">
        <f t="shared" si="7"/>
        <v>EC020555</v>
      </c>
      <c r="F100" t="str">
        <f>_xlfn.XLOOKUP(G100,ecu_admgz_adm2!D:D,ecu_admgz_adm2!C:C)</f>
        <v>San Miguel</v>
      </c>
      <c r="G100" t="str">
        <f t="shared" si="8"/>
        <v>EC0205</v>
      </c>
      <c r="H100" t="str">
        <f t="shared" si="9"/>
        <v>EC02</v>
      </c>
      <c r="I100" t="str">
        <f>_xlfn.XLOOKUP(H100,eci_admgz_adm1!D:D,eci_admgz_adm1!C:C)</f>
        <v>Bolívar</v>
      </c>
      <c r="J100" t="s">
        <v>2021</v>
      </c>
      <c r="K100" s="1" t="s">
        <v>2023</v>
      </c>
    </row>
    <row r="101" spans="1:11" ht="16" x14ac:dyDescent="0.2">
      <c r="A101" t="s">
        <v>201</v>
      </c>
      <c r="B101" t="s">
        <v>143</v>
      </c>
      <c r="C101" t="str">
        <f t="shared" si="6"/>
        <v>San Vicente</v>
      </c>
      <c r="D101" t="str">
        <f t="shared" si="5"/>
        <v>San Vicente</v>
      </c>
      <c r="E101" t="str">
        <f t="shared" si="7"/>
        <v>EC020556</v>
      </c>
      <c r="F101" t="str">
        <f>_xlfn.XLOOKUP(G101,ecu_admgz_adm2!D:D,ecu_admgz_adm2!C:C)</f>
        <v>San Miguel</v>
      </c>
      <c r="G101" t="str">
        <f t="shared" si="8"/>
        <v>EC0205</v>
      </c>
      <c r="H101" t="str">
        <f t="shared" si="9"/>
        <v>EC02</v>
      </c>
      <c r="I101" t="str">
        <f>_xlfn.XLOOKUP(H101,eci_admgz_adm1!D:D,eci_admgz_adm1!C:C)</f>
        <v>Bolívar</v>
      </c>
      <c r="J101" t="s">
        <v>2021</v>
      </c>
      <c r="K101" s="1" t="s">
        <v>2023</v>
      </c>
    </row>
    <row r="102" spans="1:11" ht="16" x14ac:dyDescent="0.2">
      <c r="A102" t="s">
        <v>202</v>
      </c>
      <c r="B102" t="s">
        <v>203</v>
      </c>
      <c r="C102" t="str">
        <f t="shared" si="6"/>
        <v>Caluma</v>
      </c>
      <c r="D102" t="str">
        <f t="shared" si="5"/>
        <v>Caluma</v>
      </c>
      <c r="E102" t="str">
        <f t="shared" si="7"/>
        <v>EC020650</v>
      </c>
      <c r="F102" t="str">
        <f>_xlfn.XLOOKUP(G102,ecu_admgz_adm2!D:D,ecu_admgz_adm2!C:C)</f>
        <v>Caluma</v>
      </c>
      <c r="G102" t="str">
        <f t="shared" si="8"/>
        <v>EC0206</v>
      </c>
      <c r="H102" t="str">
        <f t="shared" si="9"/>
        <v>EC02</v>
      </c>
      <c r="I102" t="str">
        <f>_xlfn.XLOOKUP(H102,eci_admgz_adm1!D:D,eci_admgz_adm1!C:C)</f>
        <v>Bolívar</v>
      </c>
      <c r="J102" t="s">
        <v>2021</v>
      </c>
      <c r="K102" s="1" t="s">
        <v>2023</v>
      </c>
    </row>
    <row r="103" spans="1:11" ht="16" x14ac:dyDescent="0.2">
      <c r="A103" t="s">
        <v>204</v>
      </c>
      <c r="B103" t="s">
        <v>205</v>
      </c>
      <c r="C103" t="str">
        <f t="shared" si="6"/>
        <v>Las Naves</v>
      </c>
      <c r="D103" t="str">
        <f t="shared" si="5"/>
        <v>Las Naves</v>
      </c>
      <c r="E103" t="str">
        <f t="shared" si="7"/>
        <v>EC020750</v>
      </c>
      <c r="F103" t="str">
        <f>_xlfn.XLOOKUP(G103,ecu_admgz_adm2!D:D,ecu_admgz_adm2!C:C)</f>
        <v>Las Naves</v>
      </c>
      <c r="G103" t="str">
        <f t="shared" si="8"/>
        <v>EC0207</v>
      </c>
      <c r="H103" t="str">
        <f t="shared" si="9"/>
        <v>EC02</v>
      </c>
      <c r="I103" t="str">
        <f>_xlfn.XLOOKUP(H103,eci_admgz_adm1!D:D,eci_admgz_adm1!C:C)</f>
        <v>Bolívar</v>
      </c>
      <c r="J103" t="s">
        <v>2021</v>
      </c>
      <c r="K103" s="1" t="s">
        <v>2023</v>
      </c>
    </row>
    <row r="104" spans="1:11" ht="16" x14ac:dyDescent="0.2">
      <c r="A104" t="s">
        <v>206</v>
      </c>
      <c r="B104" t="s">
        <v>207</v>
      </c>
      <c r="C104" t="str">
        <f t="shared" si="6"/>
        <v>Azogues</v>
      </c>
      <c r="D104" t="str">
        <f t="shared" si="5"/>
        <v>Azogues</v>
      </c>
      <c r="E104" t="str">
        <f t="shared" si="7"/>
        <v>EC030150</v>
      </c>
      <c r="F104" t="str">
        <f>_xlfn.XLOOKUP(G104,ecu_admgz_adm2!D:D,ecu_admgz_adm2!C:C)</f>
        <v>Azogues</v>
      </c>
      <c r="G104" t="str">
        <f t="shared" si="8"/>
        <v>EC0301</v>
      </c>
      <c r="H104" t="str">
        <f t="shared" si="9"/>
        <v>EC03</v>
      </c>
      <c r="I104" t="str">
        <f>_xlfn.XLOOKUP(H104,eci_admgz_adm1!D:D,eci_admgz_adm1!C:C)</f>
        <v>Cañar</v>
      </c>
      <c r="J104" t="s">
        <v>2021</v>
      </c>
      <c r="K104" s="1" t="s">
        <v>2023</v>
      </c>
    </row>
    <row r="105" spans="1:11" ht="16" x14ac:dyDescent="0.2">
      <c r="A105" t="s">
        <v>209</v>
      </c>
      <c r="B105" t="s">
        <v>210</v>
      </c>
      <c r="C105" t="str">
        <f t="shared" si="6"/>
        <v>Cojitambo</v>
      </c>
      <c r="D105" t="str">
        <f t="shared" si="5"/>
        <v>Cojitambo</v>
      </c>
      <c r="E105" t="str">
        <f t="shared" si="7"/>
        <v>EC030151</v>
      </c>
      <c r="F105" t="str">
        <f>_xlfn.XLOOKUP(G105,ecu_admgz_adm2!D:D,ecu_admgz_adm2!C:C)</f>
        <v>Azogues</v>
      </c>
      <c r="G105" t="str">
        <f t="shared" si="8"/>
        <v>EC0301</v>
      </c>
      <c r="H105" t="str">
        <f t="shared" si="9"/>
        <v>EC03</v>
      </c>
      <c r="I105" t="str">
        <f>_xlfn.XLOOKUP(H105,eci_admgz_adm1!D:D,eci_admgz_adm1!C:C)</f>
        <v>Cañar</v>
      </c>
      <c r="J105" t="s">
        <v>2021</v>
      </c>
      <c r="K105" s="1" t="s">
        <v>2023</v>
      </c>
    </row>
    <row r="106" spans="1:11" ht="16" x14ac:dyDescent="0.2">
      <c r="A106" t="s">
        <v>211</v>
      </c>
      <c r="B106" t="s">
        <v>212</v>
      </c>
      <c r="C106" t="str">
        <f t="shared" si="6"/>
        <v>Guapán</v>
      </c>
      <c r="D106" t="str">
        <f t="shared" si="5"/>
        <v>Guapán</v>
      </c>
      <c r="E106" t="str">
        <f t="shared" si="7"/>
        <v>EC030153</v>
      </c>
      <c r="F106" t="str">
        <f>_xlfn.XLOOKUP(G106,ecu_admgz_adm2!D:D,ecu_admgz_adm2!C:C)</f>
        <v>Azogues</v>
      </c>
      <c r="G106" t="str">
        <f t="shared" si="8"/>
        <v>EC0301</v>
      </c>
      <c r="H106" t="str">
        <f t="shared" si="9"/>
        <v>EC03</v>
      </c>
      <c r="I106" t="str">
        <f>_xlfn.XLOOKUP(H106,eci_admgz_adm1!D:D,eci_admgz_adm1!C:C)</f>
        <v>Cañar</v>
      </c>
      <c r="J106" t="s">
        <v>2021</v>
      </c>
      <c r="K106" s="1" t="s">
        <v>2023</v>
      </c>
    </row>
    <row r="107" spans="1:11" ht="16" x14ac:dyDescent="0.2">
      <c r="A107" t="s">
        <v>213</v>
      </c>
      <c r="B107" t="s">
        <v>214</v>
      </c>
      <c r="C107" t="str">
        <f t="shared" si="6"/>
        <v>Javier Loyola</v>
      </c>
      <c r="D107" t="str">
        <f t="shared" si="5"/>
        <v>Javier Loyola</v>
      </c>
      <c r="E107" t="str">
        <f t="shared" si="7"/>
        <v>EC030154</v>
      </c>
      <c r="F107" t="str">
        <f>_xlfn.XLOOKUP(G107,ecu_admgz_adm2!D:D,ecu_admgz_adm2!C:C)</f>
        <v>Azogues</v>
      </c>
      <c r="G107" t="str">
        <f t="shared" si="8"/>
        <v>EC0301</v>
      </c>
      <c r="H107" t="str">
        <f t="shared" si="9"/>
        <v>EC03</v>
      </c>
      <c r="I107" t="str">
        <f>_xlfn.XLOOKUP(H107,eci_admgz_adm1!D:D,eci_admgz_adm1!C:C)</f>
        <v>Cañar</v>
      </c>
      <c r="J107" t="s">
        <v>2021</v>
      </c>
      <c r="K107" s="1" t="s">
        <v>2023</v>
      </c>
    </row>
    <row r="108" spans="1:11" ht="16" x14ac:dyDescent="0.2">
      <c r="A108" t="s">
        <v>215</v>
      </c>
      <c r="B108" t="s">
        <v>216</v>
      </c>
      <c r="C108" t="str">
        <f t="shared" si="6"/>
        <v>Luis Cordero</v>
      </c>
      <c r="D108" t="str">
        <f t="shared" si="5"/>
        <v>Luis Cordero</v>
      </c>
      <c r="E108" t="str">
        <f t="shared" si="7"/>
        <v>EC030155</v>
      </c>
      <c r="F108" t="str">
        <f>_xlfn.XLOOKUP(G108,ecu_admgz_adm2!D:D,ecu_admgz_adm2!C:C)</f>
        <v>Azogues</v>
      </c>
      <c r="G108" t="str">
        <f t="shared" si="8"/>
        <v>EC0301</v>
      </c>
      <c r="H108" t="str">
        <f t="shared" si="9"/>
        <v>EC03</v>
      </c>
      <c r="I108" t="str">
        <f>_xlfn.XLOOKUP(H108,eci_admgz_adm1!D:D,eci_admgz_adm1!C:C)</f>
        <v>Cañar</v>
      </c>
      <c r="J108" t="s">
        <v>2021</v>
      </c>
      <c r="K108" s="1" t="s">
        <v>2023</v>
      </c>
    </row>
    <row r="109" spans="1:11" ht="16" x14ac:dyDescent="0.2">
      <c r="A109" t="s">
        <v>217</v>
      </c>
      <c r="B109" t="s">
        <v>218</v>
      </c>
      <c r="C109" t="str">
        <f t="shared" si="6"/>
        <v>Pindilig</v>
      </c>
      <c r="D109" t="str">
        <f t="shared" si="5"/>
        <v>Pindilig</v>
      </c>
      <c r="E109" t="str">
        <f t="shared" si="7"/>
        <v>EC030156</v>
      </c>
      <c r="F109" t="str">
        <f>_xlfn.XLOOKUP(G109,ecu_admgz_adm2!D:D,ecu_admgz_adm2!C:C)</f>
        <v>Azogues</v>
      </c>
      <c r="G109" t="str">
        <f t="shared" si="8"/>
        <v>EC0301</v>
      </c>
      <c r="H109" t="str">
        <f t="shared" si="9"/>
        <v>EC03</v>
      </c>
      <c r="I109" t="str">
        <f>_xlfn.XLOOKUP(H109,eci_admgz_adm1!D:D,eci_admgz_adm1!C:C)</f>
        <v>Cañar</v>
      </c>
      <c r="J109" t="s">
        <v>2021</v>
      </c>
      <c r="K109" s="1" t="s">
        <v>2023</v>
      </c>
    </row>
    <row r="110" spans="1:11" ht="16" x14ac:dyDescent="0.2">
      <c r="A110" t="s">
        <v>219</v>
      </c>
      <c r="B110" t="s">
        <v>220</v>
      </c>
      <c r="C110" t="str">
        <f t="shared" si="6"/>
        <v>Rivera</v>
      </c>
      <c r="D110" t="str">
        <f t="shared" si="5"/>
        <v>Rivera</v>
      </c>
      <c r="E110" t="str">
        <f t="shared" si="7"/>
        <v>EC030157</v>
      </c>
      <c r="F110" t="str">
        <f>_xlfn.XLOOKUP(G110,ecu_admgz_adm2!D:D,ecu_admgz_adm2!C:C)</f>
        <v>Azogues</v>
      </c>
      <c r="G110" t="str">
        <f t="shared" si="8"/>
        <v>EC0301</v>
      </c>
      <c r="H110" t="str">
        <f t="shared" si="9"/>
        <v>EC03</v>
      </c>
      <c r="I110" t="str">
        <f>_xlfn.XLOOKUP(H110,eci_admgz_adm1!D:D,eci_admgz_adm1!C:C)</f>
        <v>Cañar</v>
      </c>
      <c r="J110" t="s">
        <v>2021</v>
      </c>
      <c r="K110" s="1" t="s">
        <v>2023</v>
      </c>
    </row>
    <row r="111" spans="1:11" ht="16" x14ac:dyDescent="0.2">
      <c r="A111" t="s">
        <v>221</v>
      </c>
      <c r="B111" t="s">
        <v>190</v>
      </c>
      <c r="C111" t="str">
        <f t="shared" si="6"/>
        <v>San Miguel</v>
      </c>
      <c r="D111" t="str">
        <f t="shared" si="5"/>
        <v>San Miguel</v>
      </c>
      <c r="E111" t="str">
        <f t="shared" si="7"/>
        <v>EC030158</v>
      </c>
      <c r="F111" t="str">
        <f>_xlfn.XLOOKUP(G111,ecu_admgz_adm2!D:D,ecu_admgz_adm2!C:C)</f>
        <v>Azogues</v>
      </c>
      <c r="G111" t="str">
        <f t="shared" si="8"/>
        <v>EC0301</v>
      </c>
      <c r="H111" t="str">
        <f t="shared" si="9"/>
        <v>EC03</v>
      </c>
      <c r="I111" t="str">
        <f>_xlfn.XLOOKUP(H111,eci_admgz_adm1!D:D,eci_admgz_adm1!C:C)</f>
        <v>Cañar</v>
      </c>
      <c r="J111" t="s">
        <v>2021</v>
      </c>
      <c r="K111" s="1" t="s">
        <v>2023</v>
      </c>
    </row>
    <row r="112" spans="1:11" ht="16" x14ac:dyDescent="0.2">
      <c r="A112" t="s">
        <v>222</v>
      </c>
      <c r="B112" t="s">
        <v>223</v>
      </c>
      <c r="C112" t="str">
        <f t="shared" si="6"/>
        <v>Taday</v>
      </c>
      <c r="D112" t="str">
        <f t="shared" si="5"/>
        <v>Taday</v>
      </c>
      <c r="E112" t="str">
        <f t="shared" si="7"/>
        <v>EC030160</v>
      </c>
      <c r="F112" t="str">
        <f>_xlfn.XLOOKUP(G112,ecu_admgz_adm2!D:D,ecu_admgz_adm2!C:C)</f>
        <v>Azogues</v>
      </c>
      <c r="G112" t="str">
        <f t="shared" si="8"/>
        <v>EC0301</v>
      </c>
      <c r="H112" t="str">
        <f t="shared" si="9"/>
        <v>EC03</v>
      </c>
      <c r="I112" t="str">
        <f>_xlfn.XLOOKUP(H112,eci_admgz_adm1!D:D,eci_admgz_adm1!C:C)</f>
        <v>Cañar</v>
      </c>
      <c r="J112" t="s">
        <v>2021</v>
      </c>
      <c r="K112" s="1" t="s">
        <v>2023</v>
      </c>
    </row>
    <row r="113" spans="1:11" ht="16" x14ac:dyDescent="0.2">
      <c r="A113" t="s">
        <v>224</v>
      </c>
      <c r="B113" t="s">
        <v>225</v>
      </c>
      <c r="C113" t="str">
        <f t="shared" si="6"/>
        <v>Biblián</v>
      </c>
      <c r="D113" t="str">
        <f t="shared" si="5"/>
        <v>Biblián</v>
      </c>
      <c r="E113" t="str">
        <f t="shared" si="7"/>
        <v>EC030250</v>
      </c>
      <c r="F113" t="str">
        <f>_xlfn.XLOOKUP(G113,ecu_admgz_adm2!D:D,ecu_admgz_adm2!C:C)</f>
        <v>Biblián</v>
      </c>
      <c r="G113" t="str">
        <f t="shared" si="8"/>
        <v>EC0302</v>
      </c>
      <c r="H113" t="str">
        <f t="shared" si="9"/>
        <v>EC03</v>
      </c>
      <c r="I113" t="str">
        <f>_xlfn.XLOOKUP(H113,eci_admgz_adm1!D:D,eci_admgz_adm1!C:C)</f>
        <v>Cañar</v>
      </c>
      <c r="J113" t="s">
        <v>2021</v>
      </c>
      <c r="K113" s="1" t="s">
        <v>2023</v>
      </c>
    </row>
    <row r="114" spans="1:11" ht="16" x14ac:dyDescent="0.2">
      <c r="A114" t="s">
        <v>226</v>
      </c>
      <c r="B114" t="s">
        <v>227</v>
      </c>
      <c r="C114" t="str">
        <f t="shared" si="6"/>
        <v>Nazón</v>
      </c>
      <c r="D114" t="str">
        <f t="shared" si="5"/>
        <v>Nazón</v>
      </c>
      <c r="E114" t="str">
        <f t="shared" si="7"/>
        <v>EC030251</v>
      </c>
      <c r="F114" t="str">
        <f>_xlfn.XLOOKUP(G114,ecu_admgz_adm2!D:D,ecu_admgz_adm2!C:C)</f>
        <v>Biblián</v>
      </c>
      <c r="G114" t="str">
        <f t="shared" si="8"/>
        <v>EC0302</v>
      </c>
      <c r="H114" t="str">
        <f t="shared" si="9"/>
        <v>EC03</v>
      </c>
      <c r="I114" t="str">
        <f>_xlfn.XLOOKUP(H114,eci_admgz_adm1!D:D,eci_admgz_adm1!C:C)</f>
        <v>Cañar</v>
      </c>
      <c r="J114" t="s">
        <v>2021</v>
      </c>
      <c r="K114" s="1" t="s">
        <v>2023</v>
      </c>
    </row>
    <row r="115" spans="1:11" ht="16" x14ac:dyDescent="0.2">
      <c r="A115" t="s">
        <v>228</v>
      </c>
      <c r="B115" t="s">
        <v>229</v>
      </c>
      <c r="C115" t="str">
        <f t="shared" si="6"/>
        <v>San Francisco De Sageo</v>
      </c>
      <c r="D115" t="str">
        <f t="shared" si="5"/>
        <v>San Francisco de Sageo</v>
      </c>
      <c r="E115" t="str">
        <f t="shared" si="7"/>
        <v>EC030252</v>
      </c>
      <c r="F115" t="str">
        <f>_xlfn.XLOOKUP(G115,ecu_admgz_adm2!D:D,ecu_admgz_adm2!C:C)</f>
        <v>Biblián</v>
      </c>
      <c r="G115" t="str">
        <f t="shared" si="8"/>
        <v>EC0302</v>
      </c>
      <c r="H115" t="str">
        <f t="shared" si="9"/>
        <v>EC03</v>
      </c>
      <c r="I115" t="str">
        <f>_xlfn.XLOOKUP(H115,eci_admgz_adm1!D:D,eci_admgz_adm1!C:C)</f>
        <v>Cañar</v>
      </c>
      <c r="J115" t="s">
        <v>2021</v>
      </c>
      <c r="K115" s="1" t="s">
        <v>2023</v>
      </c>
    </row>
    <row r="116" spans="1:11" ht="16" x14ac:dyDescent="0.2">
      <c r="A116" t="s">
        <v>230</v>
      </c>
      <c r="B116" t="s">
        <v>231</v>
      </c>
      <c r="C116" t="str">
        <f t="shared" si="6"/>
        <v>Turupamba</v>
      </c>
      <c r="D116" t="str">
        <f t="shared" si="5"/>
        <v>Turupamba</v>
      </c>
      <c r="E116" t="str">
        <f t="shared" si="7"/>
        <v>EC030253</v>
      </c>
      <c r="F116" t="str">
        <f>_xlfn.XLOOKUP(G116,ecu_admgz_adm2!D:D,ecu_admgz_adm2!C:C)</f>
        <v>Biblián</v>
      </c>
      <c r="G116" t="str">
        <f t="shared" si="8"/>
        <v>EC0302</v>
      </c>
      <c r="H116" t="str">
        <f t="shared" si="9"/>
        <v>EC03</v>
      </c>
      <c r="I116" t="str">
        <f>_xlfn.XLOOKUP(H116,eci_admgz_adm1!D:D,eci_admgz_adm1!C:C)</f>
        <v>Cañar</v>
      </c>
      <c r="J116" t="s">
        <v>2021</v>
      </c>
      <c r="K116" s="1" t="s">
        <v>2023</v>
      </c>
    </row>
    <row r="117" spans="1:11" ht="16" x14ac:dyDescent="0.2">
      <c r="A117" t="s">
        <v>232</v>
      </c>
      <c r="B117" t="s">
        <v>233</v>
      </c>
      <c r="C117" t="str">
        <f t="shared" si="6"/>
        <v>Jerusalén</v>
      </c>
      <c r="D117" t="str">
        <f t="shared" si="5"/>
        <v>Jerusalén</v>
      </c>
      <c r="E117" t="str">
        <f t="shared" si="7"/>
        <v>EC030254</v>
      </c>
      <c r="F117" t="str">
        <f>_xlfn.XLOOKUP(G117,ecu_admgz_adm2!D:D,ecu_admgz_adm2!C:C)</f>
        <v>Biblián</v>
      </c>
      <c r="G117" t="str">
        <f t="shared" si="8"/>
        <v>EC0302</v>
      </c>
      <c r="H117" t="str">
        <f t="shared" si="9"/>
        <v>EC03</v>
      </c>
      <c r="I117" t="str">
        <f>_xlfn.XLOOKUP(H117,eci_admgz_adm1!D:D,eci_admgz_adm1!C:C)</f>
        <v>Cañar</v>
      </c>
      <c r="J117" t="s">
        <v>2021</v>
      </c>
      <c r="K117" s="1" t="s">
        <v>2023</v>
      </c>
    </row>
    <row r="118" spans="1:11" ht="16" x14ac:dyDescent="0.2">
      <c r="A118" t="s">
        <v>234</v>
      </c>
      <c r="B118" t="s">
        <v>208</v>
      </c>
      <c r="C118" t="str">
        <f t="shared" si="6"/>
        <v>Cañar</v>
      </c>
      <c r="D118" t="str">
        <f t="shared" si="5"/>
        <v>Cañar</v>
      </c>
      <c r="E118" t="str">
        <f t="shared" si="7"/>
        <v>EC030350</v>
      </c>
      <c r="F118" t="str">
        <f>_xlfn.XLOOKUP(G118,ecu_admgz_adm2!D:D,ecu_admgz_adm2!C:C)</f>
        <v>Cañar</v>
      </c>
      <c r="G118" t="str">
        <f t="shared" si="8"/>
        <v>EC0303</v>
      </c>
      <c r="H118" t="str">
        <f t="shared" si="9"/>
        <v>EC03</v>
      </c>
      <c r="I118" t="str">
        <f>_xlfn.XLOOKUP(H118,eci_admgz_adm1!D:D,eci_admgz_adm1!C:C)</f>
        <v>Cañar</v>
      </c>
      <c r="J118" t="s">
        <v>2021</v>
      </c>
      <c r="K118" s="1" t="s">
        <v>2023</v>
      </c>
    </row>
    <row r="119" spans="1:11" ht="16" x14ac:dyDescent="0.2">
      <c r="A119" t="s">
        <v>235</v>
      </c>
      <c r="B119" t="s">
        <v>236</v>
      </c>
      <c r="C119" t="str">
        <f t="shared" si="6"/>
        <v>Chontamarca</v>
      </c>
      <c r="D119" t="str">
        <f t="shared" si="5"/>
        <v>Chontamarca</v>
      </c>
      <c r="E119" t="str">
        <f t="shared" si="7"/>
        <v>EC030351</v>
      </c>
      <c r="F119" t="str">
        <f>_xlfn.XLOOKUP(G119,ecu_admgz_adm2!D:D,ecu_admgz_adm2!C:C)</f>
        <v>Cañar</v>
      </c>
      <c r="G119" t="str">
        <f t="shared" si="8"/>
        <v>EC0303</v>
      </c>
      <c r="H119" t="str">
        <f t="shared" si="9"/>
        <v>EC03</v>
      </c>
      <c r="I119" t="str">
        <f>_xlfn.XLOOKUP(H119,eci_admgz_adm1!D:D,eci_admgz_adm1!C:C)</f>
        <v>Cañar</v>
      </c>
      <c r="J119" t="s">
        <v>2021</v>
      </c>
      <c r="K119" s="1" t="s">
        <v>2023</v>
      </c>
    </row>
    <row r="120" spans="1:11" ht="16" x14ac:dyDescent="0.2">
      <c r="A120" t="s">
        <v>237</v>
      </c>
      <c r="B120" t="s">
        <v>238</v>
      </c>
      <c r="C120" t="str">
        <f t="shared" si="6"/>
        <v>Chorocopte</v>
      </c>
      <c r="D120" t="str">
        <f t="shared" si="5"/>
        <v>Chorocopte</v>
      </c>
      <c r="E120" t="str">
        <f t="shared" si="7"/>
        <v>EC030352</v>
      </c>
      <c r="F120" t="str">
        <f>_xlfn.XLOOKUP(G120,ecu_admgz_adm2!D:D,ecu_admgz_adm2!C:C)</f>
        <v>Cañar</v>
      </c>
      <c r="G120" t="str">
        <f t="shared" si="8"/>
        <v>EC0303</v>
      </c>
      <c r="H120" t="str">
        <f t="shared" si="9"/>
        <v>EC03</v>
      </c>
      <c r="I120" t="str">
        <f>_xlfn.XLOOKUP(H120,eci_admgz_adm1!D:D,eci_admgz_adm1!C:C)</f>
        <v>Cañar</v>
      </c>
      <c r="J120" t="s">
        <v>2021</v>
      </c>
      <c r="K120" s="1" t="s">
        <v>2023</v>
      </c>
    </row>
    <row r="121" spans="1:11" ht="16" x14ac:dyDescent="0.2">
      <c r="A121" t="s">
        <v>239</v>
      </c>
      <c r="B121" t="s">
        <v>240</v>
      </c>
      <c r="C121" t="str">
        <f t="shared" si="6"/>
        <v>General Morales</v>
      </c>
      <c r="D121" t="str">
        <f t="shared" si="5"/>
        <v>General Morales</v>
      </c>
      <c r="E121" t="str">
        <f t="shared" si="7"/>
        <v>EC030353</v>
      </c>
      <c r="F121" t="str">
        <f>_xlfn.XLOOKUP(G121,ecu_admgz_adm2!D:D,ecu_admgz_adm2!C:C)</f>
        <v>Cañar</v>
      </c>
      <c r="G121" t="str">
        <f t="shared" si="8"/>
        <v>EC0303</v>
      </c>
      <c r="H121" t="str">
        <f t="shared" si="9"/>
        <v>EC03</v>
      </c>
      <c r="I121" t="str">
        <f>_xlfn.XLOOKUP(H121,eci_admgz_adm1!D:D,eci_admgz_adm1!C:C)</f>
        <v>Cañar</v>
      </c>
      <c r="J121" t="s">
        <v>2021</v>
      </c>
      <c r="K121" s="1" t="s">
        <v>2023</v>
      </c>
    </row>
    <row r="122" spans="1:11" ht="16" x14ac:dyDescent="0.2">
      <c r="A122" t="s">
        <v>241</v>
      </c>
      <c r="B122" t="s">
        <v>242</v>
      </c>
      <c r="C122" t="str">
        <f t="shared" si="6"/>
        <v>Gualleturo</v>
      </c>
      <c r="D122" t="str">
        <f t="shared" si="5"/>
        <v>Gualleturo</v>
      </c>
      <c r="E122" t="str">
        <f t="shared" si="7"/>
        <v>EC030354</v>
      </c>
      <c r="F122" t="str">
        <f>_xlfn.XLOOKUP(G122,ecu_admgz_adm2!D:D,ecu_admgz_adm2!C:C)</f>
        <v>Cañar</v>
      </c>
      <c r="G122" t="str">
        <f t="shared" si="8"/>
        <v>EC0303</v>
      </c>
      <c r="H122" t="str">
        <f t="shared" si="9"/>
        <v>EC03</v>
      </c>
      <c r="I122" t="str">
        <f>_xlfn.XLOOKUP(H122,eci_admgz_adm1!D:D,eci_admgz_adm1!C:C)</f>
        <v>Cañar</v>
      </c>
      <c r="J122" t="s">
        <v>2021</v>
      </c>
      <c r="K122" s="1" t="s">
        <v>2023</v>
      </c>
    </row>
    <row r="123" spans="1:11" ht="16" x14ac:dyDescent="0.2">
      <c r="A123" t="s">
        <v>243</v>
      </c>
      <c r="B123" t="s">
        <v>244</v>
      </c>
      <c r="C123" t="str">
        <f t="shared" si="6"/>
        <v>Honorato Vásquez</v>
      </c>
      <c r="D123" t="str">
        <f t="shared" si="5"/>
        <v>Honorato Vásquez</v>
      </c>
      <c r="E123" t="str">
        <f t="shared" si="7"/>
        <v>EC030355</v>
      </c>
      <c r="F123" t="str">
        <f>_xlfn.XLOOKUP(G123,ecu_admgz_adm2!D:D,ecu_admgz_adm2!C:C)</f>
        <v>Cañar</v>
      </c>
      <c r="G123" t="str">
        <f t="shared" si="8"/>
        <v>EC0303</v>
      </c>
      <c r="H123" t="str">
        <f t="shared" si="9"/>
        <v>EC03</v>
      </c>
      <c r="I123" t="str">
        <f>_xlfn.XLOOKUP(H123,eci_admgz_adm1!D:D,eci_admgz_adm1!C:C)</f>
        <v>Cañar</v>
      </c>
      <c r="J123" t="s">
        <v>2021</v>
      </c>
      <c r="K123" s="1" t="s">
        <v>2023</v>
      </c>
    </row>
    <row r="124" spans="1:11" ht="16" x14ac:dyDescent="0.2">
      <c r="A124" t="s">
        <v>245</v>
      </c>
      <c r="B124" t="s">
        <v>246</v>
      </c>
      <c r="C124" t="str">
        <f t="shared" si="6"/>
        <v>Ingapirca</v>
      </c>
      <c r="D124" t="str">
        <f t="shared" si="5"/>
        <v>Ingapirca</v>
      </c>
      <c r="E124" t="str">
        <f t="shared" si="7"/>
        <v>EC030356</v>
      </c>
      <c r="F124" t="str">
        <f>_xlfn.XLOOKUP(G124,ecu_admgz_adm2!D:D,ecu_admgz_adm2!C:C)</f>
        <v>Cañar</v>
      </c>
      <c r="G124" t="str">
        <f t="shared" si="8"/>
        <v>EC0303</v>
      </c>
      <c r="H124" t="str">
        <f t="shared" si="9"/>
        <v>EC03</v>
      </c>
      <c r="I124" t="str">
        <f>_xlfn.XLOOKUP(H124,eci_admgz_adm1!D:D,eci_admgz_adm1!C:C)</f>
        <v>Cañar</v>
      </c>
      <c r="J124" t="s">
        <v>2021</v>
      </c>
      <c r="K124" s="1" t="s">
        <v>2023</v>
      </c>
    </row>
    <row r="125" spans="1:11" ht="16" x14ac:dyDescent="0.2">
      <c r="A125" t="s">
        <v>247</v>
      </c>
      <c r="B125" t="s">
        <v>248</v>
      </c>
      <c r="C125" t="str">
        <f t="shared" si="6"/>
        <v>Juncal</v>
      </c>
      <c r="D125" t="str">
        <f t="shared" si="5"/>
        <v>Juncal</v>
      </c>
      <c r="E125" t="str">
        <f t="shared" si="7"/>
        <v>EC030357</v>
      </c>
      <c r="F125" t="str">
        <f>_xlfn.XLOOKUP(G125,ecu_admgz_adm2!D:D,ecu_admgz_adm2!C:C)</f>
        <v>Cañar</v>
      </c>
      <c r="G125" t="str">
        <f t="shared" si="8"/>
        <v>EC0303</v>
      </c>
      <c r="H125" t="str">
        <f t="shared" si="9"/>
        <v>EC03</v>
      </c>
      <c r="I125" t="str">
        <f>_xlfn.XLOOKUP(H125,eci_admgz_adm1!D:D,eci_admgz_adm1!C:C)</f>
        <v>Cañar</v>
      </c>
      <c r="J125" t="s">
        <v>2021</v>
      </c>
      <c r="K125" s="1" t="s">
        <v>2023</v>
      </c>
    </row>
    <row r="126" spans="1:11" ht="16" x14ac:dyDescent="0.2">
      <c r="A126" t="s">
        <v>249</v>
      </c>
      <c r="B126" t="s">
        <v>250</v>
      </c>
      <c r="C126" t="str">
        <f t="shared" si="6"/>
        <v>San Antonio</v>
      </c>
      <c r="D126" t="str">
        <f t="shared" si="5"/>
        <v>San Antonio</v>
      </c>
      <c r="E126" t="str">
        <f t="shared" si="7"/>
        <v>EC030358</v>
      </c>
      <c r="F126" t="str">
        <f>_xlfn.XLOOKUP(G126,ecu_admgz_adm2!D:D,ecu_admgz_adm2!C:C)</f>
        <v>Cañar</v>
      </c>
      <c r="G126" t="str">
        <f t="shared" si="8"/>
        <v>EC0303</v>
      </c>
      <c r="H126" t="str">
        <f t="shared" si="9"/>
        <v>EC03</v>
      </c>
      <c r="I126" t="str">
        <f>_xlfn.XLOOKUP(H126,eci_admgz_adm1!D:D,eci_admgz_adm1!C:C)</f>
        <v>Cañar</v>
      </c>
      <c r="J126" t="s">
        <v>2021</v>
      </c>
      <c r="K126" s="1" t="s">
        <v>2023</v>
      </c>
    </row>
    <row r="127" spans="1:11" ht="16" x14ac:dyDescent="0.2">
      <c r="A127" t="s">
        <v>251</v>
      </c>
      <c r="B127" t="s">
        <v>252</v>
      </c>
      <c r="C127" t="str">
        <f t="shared" si="6"/>
        <v>Zhud</v>
      </c>
      <c r="D127" t="str">
        <f t="shared" si="5"/>
        <v>Zhud</v>
      </c>
      <c r="E127" t="str">
        <f t="shared" si="7"/>
        <v>EC030361</v>
      </c>
      <c r="F127" t="str">
        <f>_xlfn.XLOOKUP(G127,ecu_admgz_adm2!D:D,ecu_admgz_adm2!C:C)</f>
        <v>Cañar</v>
      </c>
      <c r="G127" t="str">
        <f t="shared" si="8"/>
        <v>EC0303</v>
      </c>
      <c r="H127" t="str">
        <f t="shared" si="9"/>
        <v>EC03</v>
      </c>
      <c r="I127" t="str">
        <f>_xlfn.XLOOKUP(H127,eci_admgz_adm1!D:D,eci_admgz_adm1!C:C)</f>
        <v>Cañar</v>
      </c>
      <c r="J127" t="s">
        <v>2021</v>
      </c>
      <c r="K127" s="1" t="s">
        <v>2023</v>
      </c>
    </row>
    <row r="128" spans="1:11" ht="16" x14ac:dyDescent="0.2">
      <c r="A128" t="s">
        <v>253</v>
      </c>
      <c r="B128" t="s">
        <v>254</v>
      </c>
      <c r="C128" t="str">
        <f t="shared" si="6"/>
        <v>Ventura</v>
      </c>
      <c r="D128" t="str">
        <f t="shared" si="5"/>
        <v>Ventura</v>
      </c>
      <c r="E128" t="str">
        <f t="shared" si="7"/>
        <v>EC030362</v>
      </c>
      <c r="F128" t="str">
        <f>_xlfn.XLOOKUP(G128,ecu_admgz_adm2!D:D,ecu_admgz_adm2!C:C)</f>
        <v>Cañar</v>
      </c>
      <c r="G128" t="str">
        <f t="shared" si="8"/>
        <v>EC0303</v>
      </c>
      <c r="H128" t="str">
        <f t="shared" si="9"/>
        <v>EC03</v>
      </c>
      <c r="I128" t="str">
        <f>_xlfn.XLOOKUP(H128,eci_admgz_adm1!D:D,eci_admgz_adm1!C:C)</f>
        <v>Cañar</v>
      </c>
      <c r="J128" t="s">
        <v>2021</v>
      </c>
      <c r="K128" s="1" t="s">
        <v>2023</v>
      </c>
    </row>
    <row r="129" spans="1:11" ht="16" x14ac:dyDescent="0.2">
      <c r="A129" t="s">
        <v>255</v>
      </c>
      <c r="B129" t="s">
        <v>256</v>
      </c>
      <c r="C129" t="str">
        <f t="shared" si="6"/>
        <v>Ducur</v>
      </c>
      <c r="D129" t="str">
        <f t="shared" si="5"/>
        <v>Ducur</v>
      </c>
      <c r="E129" t="str">
        <f t="shared" si="7"/>
        <v>EC030363</v>
      </c>
      <c r="F129" t="str">
        <f>_xlfn.XLOOKUP(G129,ecu_admgz_adm2!D:D,ecu_admgz_adm2!C:C)</f>
        <v>Cañar</v>
      </c>
      <c r="G129" t="str">
        <f t="shared" si="8"/>
        <v>EC0303</v>
      </c>
      <c r="H129" t="str">
        <f t="shared" si="9"/>
        <v>EC03</v>
      </c>
      <c r="I129" t="str">
        <f>_xlfn.XLOOKUP(H129,eci_admgz_adm1!D:D,eci_admgz_adm1!C:C)</f>
        <v>Cañar</v>
      </c>
      <c r="J129" t="s">
        <v>2021</v>
      </c>
      <c r="K129" s="1" t="s">
        <v>2023</v>
      </c>
    </row>
    <row r="130" spans="1:11" ht="16" x14ac:dyDescent="0.2">
      <c r="A130" t="s">
        <v>257</v>
      </c>
      <c r="B130" t="s">
        <v>258</v>
      </c>
      <c r="C130" t="str">
        <f t="shared" si="6"/>
        <v>La Troncal</v>
      </c>
      <c r="D130" t="str">
        <f t="shared" ref="D130:D193" si="10">SUBSTITUTE(SUBSTITUTE(SUBSTITUTE(SUBSTITUTE(SUBSTITUTE(SUBSTITUTE(PROPER($C130)," De "," de ")," La "," la ")," Del "," del ")," Los "," los ")," Y "," y "),"En","en")</f>
        <v>La Troncal</v>
      </c>
      <c r="E130" t="str">
        <f t="shared" si="7"/>
        <v>EC030450</v>
      </c>
      <c r="F130" t="str">
        <f>_xlfn.XLOOKUP(G130,ecu_admgz_adm2!D:D,ecu_admgz_adm2!C:C)</f>
        <v>La Troncal</v>
      </c>
      <c r="G130" t="str">
        <f t="shared" si="8"/>
        <v>EC0304</v>
      </c>
      <c r="H130" t="str">
        <f t="shared" si="9"/>
        <v>EC03</v>
      </c>
      <c r="I130" t="str">
        <f>_xlfn.XLOOKUP(H130,eci_admgz_adm1!D:D,eci_admgz_adm1!C:C)</f>
        <v>Cañar</v>
      </c>
      <c r="J130" t="s">
        <v>2021</v>
      </c>
      <c r="K130" s="1" t="s">
        <v>2023</v>
      </c>
    </row>
    <row r="131" spans="1:11" ht="16" x14ac:dyDescent="0.2">
      <c r="A131" t="s">
        <v>259</v>
      </c>
      <c r="B131" t="s">
        <v>260</v>
      </c>
      <c r="C131" t="str">
        <f t="shared" ref="C131:C194" si="11">PROPER(B131)</f>
        <v>Manuel J. Calle</v>
      </c>
      <c r="D131" t="str">
        <f t="shared" si="10"/>
        <v>Manuel J. Calle</v>
      </c>
      <c r="E131" t="str">
        <f t="shared" ref="E131:E194" si="12">"EC"&amp;A131</f>
        <v>EC030451</v>
      </c>
      <c r="F131" t="str">
        <f>_xlfn.XLOOKUP(G131,ecu_admgz_adm2!D:D,ecu_admgz_adm2!C:C)</f>
        <v>La Troncal</v>
      </c>
      <c r="G131" t="str">
        <f t="shared" ref="G131:G194" si="13">LEFT(E131,6)</f>
        <v>EC0304</v>
      </c>
      <c r="H131" t="str">
        <f t="shared" ref="H131:H194" si="14">LEFT(G131,4)</f>
        <v>EC03</v>
      </c>
      <c r="I131" t="str">
        <f>_xlfn.XLOOKUP(H131,eci_admgz_adm1!D:D,eci_admgz_adm1!C:C)</f>
        <v>Cañar</v>
      </c>
      <c r="J131" t="s">
        <v>2021</v>
      </c>
      <c r="K131" s="1" t="s">
        <v>2023</v>
      </c>
    </row>
    <row r="132" spans="1:11" ht="16" x14ac:dyDescent="0.2">
      <c r="A132" t="s">
        <v>261</v>
      </c>
      <c r="B132" t="s">
        <v>262</v>
      </c>
      <c r="C132" t="str">
        <f t="shared" si="11"/>
        <v>Pancho Negro</v>
      </c>
      <c r="D132" t="str">
        <f t="shared" si="10"/>
        <v>Pancho Negro</v>
      </c>
      <c r="E132" t="str">
        <f t="shared" si="12"/>
        <v>EC030452</v>
      </c>
      <c r="F132" t="str">
        <f>_xlfn.XLOOKUP(G132,ecu_admgz_adm2!D:D,ecu_admgz_adm2!C:C)</f>
        <v>La Troncal</v>
      </c>
      <c r="G132" t="str">
        <f t="shared" si="13"/>
        <v>EC0304</v>
      </c>
      <c r="H132" t="str">
        <f t="shared" si="14"/>
        <v>EC03</v>
      </c>
      <c r="I132" t="str">
        <f>_xlfn.XLOOKUP(H132,eci_admgz_adm1!D:D,eci_admgz_adm1!C:C)</f>
        <v>Cañar</v>
      </c>
      <c r="J132" t="s">
        <v>2021</v>
      </c>
      <c r="K132" s="1" t="s">
        <v>2023</v>
      </c>
    </row>
    <row r="133" spans="1:11" ht="16" x14ac:dyDescent="0.2">
      <c r="A133" t="s">
        <v>263</v>
      </c>
      <c r="B133" t="s">
        <v>264</v>
      </c>
      <c r="C133" t="str">
        <f t="shared" si="11"/>
        <v>El Tambo</v>
      </c>
      <c r="D133" t="str">
        <f t="shared" si="10"/>
        <v>El Tambo</v>
      </c>
      <c r="E133" t="str">
        <f t="shared" si="12"/>
        <v>EC030550</v>
      </c>
      <c r="F133" t="str">
        <f>_xlfn.XLOOKUP(G133,ecu_admgz_adm2!D:D,ecu_admgz_adm2!C:C)</f>
        <v>El Tambo</v>
      </c>
      <c r="G133" t="str">
        <f t="shared" si="13"/>
        <v>EC0305</v>
      </c>
      <c r="H133" t="str">
        <f t="shared" si="14"/>
        <v>EC03</v>
      </c>
      <c r="I133" t="str">
        <f>_xlfn.XLOOKUP(H133,eci_admgz_adm1!D:D,eci_admgz_adm1!C:C)</f>
        <v>Cañar</v>
      </c>
      <c r="J133" t="s">
        <v>2021</v>
      </c>
      <c r="K133" s="1" t="s">
        <v>2023</v>
      </c>
    </row>
    <row r="134" spans="1:11" ht="16" x14ac:dyDescent="0.2">
      <c r="A134" t="s">
        <v>265</v>
      </c>
      <c r="B134" t="s">
        <v>266</v>
      </c>
      <c r="C134" t="str">
        <f t="shared" si="11"/>
        <v>Déleg</v>
      </c>
      <c r="D134" t="str">
        <f t="shared" si="10"/>
        <v>Déleg</v>
      </c>
      <c r="E134" t="str">
        <f t="shared" si="12"/>
        <v>EC030650</v>
      </c>
      <c r="F134" t="str">
        <f>_xlfn.XLOOKUP(G134,ecu_admgz_adm2!D:D,ecu_admgz_adm2!C:C)</f>
        <v>Déleg</v>
      </c>
      <c r="G134" t="str">
        <f t="shared" si="13"/>
        <v>EC0306</v>
      </c>
      <c r="H134" t="str">
        <f t="shared" si="14"/>
        <v>EC03</v>
      </c>
      <c r="I134" t="str">
        <f>_xlfn.XLOOKUP(H134,eci_admgz_adm1!D:D,eci_admgz_adm1!C:C)</f>
        <v>Cañar</v>
      </c>
      <c r="J134" t="s">
        <v>2021</v>
      </c>
      <c r="K134" s="1" t="s">
        <v>2023</v>
      </c>
    </row>
    <row r="135" spans="1:11" ht="16" x14ac:dyDescent="0.2">
      <c r="A135" t="s">
        <v>267</v>
      </c>
      <c r="B135" t="s">
        <v>268</v>
      </c>
      <c r="C135" t="str">
        <f t="shared" si="11"/>
        <v>Solano</v>
      </c>
      <c r="D135" t="str">
        <f t="shared" si="10"/>
        <v>Solano</v>
      </c>
      <c r="E135" t="str">
        <f t="shared" si="12"/>
        <v>EC030651</v>
      </c>
      <c r="F135" t="str">
        <f>_xlfn.XLOOKUP(G135,ecu_admgz_adm2!D:D,ecu_admgz_adm2!C:C)</f>
        <v>Déleg</v>
      </c>
      <c r="G135" t="str">
        <f t="shared" si="13"/>
        <v>EC0306</v>
      </c>
      <c r="H135" t="str">
        <f t="shared" si="14"/>
        <v>EC03</v>
      </c>
      <c r="I135" t="str">
        <f>_xlfn.XLOOKUP(H135,eci_admgz_adm1!D:D,eci_admgz_adm1!C:C)</f>
        <v>Cañar</v>
      </c>
      <c r="J135" t="s">
        <v>2021</v>
      </c>
      <c r="K135" s="1" t="s">
        <v>2023</v>
      </c>
    </row>
    <row r="136" spans="1:11" ht="16" x14ac:dyDescent="0.2">
      <c r="A136" t="s">
        <v>269</v>
      </c>
      <c r="B136" t="s">
        <v>270</v>
      </c>
      <c r="C136" t="str">
        <f t="shared" si="11"/>
        <v>Suscal</v>
      </c>
      <c r="D136" t="str">
        <f t="shared" si="10"/>
        <v>Suscal</v>
      </c>
      <c r="E136" t="str">
        <f t="shared" si="12"/>
        <v>EC030750</v>
      </c>
      <c r="F136" t="str">
        <f>_xlfn.XLOOKUP(G136,ecu_admgz_adm2!D:D,ecu_admgz_adm2!C:C)</f>
        <v>Suscal</v>
      </c>
      <c r="G136" t="str">
        <f t="shared" si="13"/>
        <v>EC0307</v>
      </c>
      <c r="H136" t="str">
        <f t="shared" si="14"/>
        <v>EC03</v>
      </c>
      <c r="I136" t="str">
        <f>_xlfn.XLOOKUP(H136,eci_admgz_adm1!D:D,eci_admgz_adm1!C:C)</f>
        <v>Cañar</v>
      </c>
      <c r="J136" t="s">
        <v>2021</v>
      </c>
      <c r="K136" s="1" t="s">
        <v>2023</v>
      </c>
    </row>
    <row r="137" spans="1:11" ht="16" x14ac:dyDescent="0.2">
      <c r="A137" t="s">
        <v>271</v>
      </c>
      <c r="B137" t="s">
        <v>272</v>
      </c>
      <c r="C137" t="str">
        <f t="shared" si="11"/>
        <v>Tulcán</v>
      </c>
      <c r="D137" t="str">
        <f t="shared" si="10"/>
        <v>Tulcán</v>
      </c>
      <c r="E137" t="str">
        <f t="shared" si="12"/>
        <v>EC040150</v>
      </c>
      <c r="F137" t="str">
        <f>_xlfn.XLOOKUP(G137,ecu_admgz_adm2!D:D,ecu_admgz_adm2!C:C)</f>
        <v>Tulcán</v>
      </c>
      <c r="G137" t="str">
        <f t="shared" si="13"/>
        <v>EC0401</v>
      </c>
      <c r="H137" t="str">
        <f t="shared" si="14"/>
        <v>EC04</v>
      </c>
      <c r="I137" t="str">
        <f>_xlfn.XLOOKUP(H137,eci_admgz_adm1!D:D,eci_admgz_adm1!C:C)</f>
        <v>Carchi</v>
      </c>
      <c r="J137" t="s">
        <v>2021</v>
      </c>
      <c r="K137" s="1" t="s">
        <v>2023</v>
      </c>
    </row>
    <row r="138" spans="1:11" ht="16" x14ac:dyDescent="0.2">
      <c r="A138" t="s">
        <v>273</v>
      </c>
      <c r="B138" t="s">
        <v>274</v>
      </c>
      <c r="C138" t="str">
        <f t="shared" si="11"/>
        <v>El Carmelo</v>
      </c>
      <c r="D138" t="str">
        <f t="shared" si="10"/>
        <v>El Carmelo</v>
      </c>
      <c r="E138" t="str">
        <f t="shared" si="12"/>
        <v>EC040151</v>
      </c>
      <c r="F138" t="str">
        <f>_xlfn.XLOOKUP(G138,ecu_admgz_adm2!D:D,ecu_admgz_adm2!C:C)</f>
        <v>Tulcán</v>
      </c>
      <c r="G138" t="str">
        <f t="shared" si="13"/>
        <v>EC0401</v>
      </c>
      <c r="H138" t="str">
        <f t="shared" si="14"/>
        <v>EC04</v>
      </c>
      <c r="I138" t="str">
        <f>_xlfn.XLOOKUP(H138,eci_admgz_adm1!D:D,eci_admgz_adm1!C:C)</f>
        <v>Carchi</v>
      </c>
      <c r="J138" t="s">
        <v>2021</v>
      </c>
      <c r="K138" s="1" t="s">
        <v>2023</v>
      </c>
    </row>
    <row r="139" spans="1:11" ht="16" x14ac:dyDescent="0.2">
      <c r="A139" t="s">
        <v>275</v>
      </c>
      <c r="B139" t="s">
        <v>276</v>
      </c>
      <c r="C139" t="str">
        <f t="shared" si="11"/>
        <v>Julio Andrade</v>
      </c>
      <c r="D139" t="str">
        <f t="shared" si="10"/>
        <v>Julio Andrade</v>
      </c>
      <c r="E139" t="str">
        <f t="shared" si="12"/>
        <v>EC040153</v>
      </c>
      <c r="F139" t="str">
        <f>_xlfn.XLOOKUP(G139,ecu_admgz_adm2!D:D,ecu_admgz_adm2!C:C)</f>
        <v>Tulcán</v>
      </c>
      <c r="G139" t="str">
        <f t="shared" si="13"/>
        <v>EC0401</v>
      </c>
      <c r="H139" t="str">
        <f t="shared" si="14"/>
        <v>EC04</v>
      </c>
      <c r="I139" t="str">
        <f>_xlfn.XLOOKUP(H139,eci_admgz_adm1!D:D,eci_admgz_adm1!C:C)</f>
        <v>Carchi</v>
      </c>
      <c r="J139" t="s">
        <v>2021</v>
      </c>
      <c r="K139" s="1" t="s">
        <v>2023</v>
      </c>
    </row>
    <row r="140" spans="1:11" ht="16" x14ac:dyDescent="0.2">
      <c r="A140" t="s">
        <v>277</v>
      </c>
      <c r="B140" t="s">
        <v>278</v>
      </c>
      <c r="C140" t="str">
        <f t="shared" si="11"/>
        <v>Maldonado</v>
      </c>
      <c r="D140" t="str">
        <f t="shared" si="10"/>
        <v>Maldonado</v>
      </c>
      <c r="E140" t="str">
        <f t="shared" si="12"/>
        <v>EC040154</v>
      </c>
      <c r="F140" t="str">
        <f>_xlfn.XLOOKUP(G140,ecu_admgz_adm2!D:D,ecu_admgz_adm2!C:C)</f>
        <v>Tulcán</v>
      </c>
      <c r="G140" t="str">
        <f t="shared" si="13"/>
        <v>EC0401</v>
      </c>
      <c r="H140" t="str">
        <f t="shared" si="14"/>
        <v>EC04</v>
      </c>
      <c r="I140" t="str">
        <f>_xlfn.XLOOKUP(H140,eci_admgz_adm1!D:D,eci_admgz_adm1!C:C)</f>
        <v>Carchi</v>
      </c>
      <c r="J140" t="s">
        <v>2021</v>
      </c>
      <c r="K140" s="1" t="s">
        <v>2023</v>
      </c>
    </row>
    <row r="141" spans="1:11" ht="16" x14ac:dyDescent="0.2">
      <c r="A141" t="s">
        <v>279</v>
      </c>
      <c r="B141" t="s">
        <v>280</v>
      </c>
      <c r="C141" t="str">
        <f t="shared" si="11"/>
        <v>Pioter</v>
      </c>
      <c r="D141" t="str">
        <f t="shared" si="10"/>
        <v>Pioter</v>
      </c>
      <c r="E141" t="str">
        <f t="shared" si="12"/>
        <v>EC040155</v>
      </c>
      <c r="F141" t="str">
        <f>_xlfn.XLOOKUP(G141,ecu_admgz_adm2!D:D,ecu_admgz_adm2!C:C)</f>
        <v>Tulcán</v>
      </c>
      <c r="G141" t="str">
        <f t="shared" si="13"/>
        <v>EC0401</v>
      </c>
      <c r="H141" t="str">
        <f t="shared" si="14"/>
        <v>EC04</v>
      </c>
      <c r="I141" t="str">
        <f>_xlfn.XLOOKUP(H141,eci_admgz_adm1!D:D,eci_admgz_adm1!C:C)</f>
        <v>Carchi</v>
      </c>
      <c r="J141" t="s">
        <v>2021</v>
      </c>
      <c r="K141" s="1" t="s">
        <v>2023</v>
      </c>
    </row>
    <row r="142" spans="1:11" ht="16" x14ac:dyDescent="0.2">
      <c r="A142" t="s">
        <v>281</v>
      </c>
      <c r="B142" t="s">
        <v>282</v>
      </c>
      <c r="C142" t="str">
        <f t="shared" si="11"/>
        <v>Tobar Donoso</v>
      </c>
      <c r="D142" t="str">
        <f t="shared" si="10"/>
        <v>Tobar Donoso</v>
      </c>
      <c r="E142" t="str">
        <f t="shared" si="12"/>
        <v>EC040156</v>
      </c>
      <c r="F142" t="str">
        <f>_xlfn.XLOOKUP(G142,ecu_admgz_adm2!D:D,ecu_admgz_adm2!C:C)</f>
        <v>Tulcán</v>
      </c>
      <c r="G142" t="str">
        <f t="shared" si="13"/>
        <v>EC0401</v>
      </c>
      <c r="H142" t="str">
        <f t="shared" si="14"/>
        <v>EC04</v>
      </c>
      <c r="I142" t="str">
        <f>_xlfn.XLOOKUP(H142,eci_admgz_adm1!D:D,eci_admgz_adm1!C:C)</f>
        <v>Carchi</v>
      </c>
      <c r="J142" t="s">
        <v>2021</v>
      </c>
      <c r="K142" s="1" t="s">
        <v>2023</v>
      </c>
    </row>
    <row r="143" spans="1:11" ht="16" x14ac:dyDescent="0.2">
      <c r="A143" t="s">
        <v>283</v>
      </c>
      <c r="B143" t="s">
        <v>284</v>
      </c>
      <c r="C143" t="str">
        <f t="shared" si="11"/>
        <v>Tufiño</v>
      </c>
      <c r="D143" t="str">
        <f t="shared" si="10"/>
        <v>Tufiño</v>
      </c>
      <c r="E143" t="str">
        <f t="shared" si="12"/>
        <v>EC040157</v>
      </c>
      <c r="F143" t="str">
        <f>_xlfn.XLOOKUP(G143,ecu_admgz_adm2!D:D,ecu_admgz_adm2!C:C)</f>
        <v>Tulcán</v>
      </c>
      <c r="G143" t="str">
        <f t="shared" si="13"/>
        <v>EC0401</v>
      </c>
      <c r="H143" t="str">
        <f t="shared" si="14"/>
        <v>EC04</v>
      </c>
      <c r="I143" t="str">
        <f>_xlfn.XLOOKUP(H143,eci_admgz_adm1!D:D,eci_admgz_adm1!C:C)</f>
        <v>Carchi</v>
      </c>
      <c r="J143" t="s">
        <v>2021</v>
      </c>
      <c r="K143" s="1" t="s">
        <v>2023</v>
      </c>
    </row>
    <row r="144" spans="1:11" ht="16" x14ac:dyDescent="0.2">
      <c r="A144" t="s">
        <v>285</v>
      </c>
      <c r="B144" t="s">
        <v>286</v>
      </c>
      <c r="C144" t="str">
        <f t="shared" si="11"/>
        <v>Urbina</v>
      </c>
      <c r="D144" t="str">
        <f t="shared" si="10"/>
        <v>Urbina</v>
      </c>
      <c r="E144" t="str">
        <f t="shared" si="12"/>
        <v>EC040158</v>
      </c>
      <c r="F144" t="str">
        <f>_xlfn.XLOOKUP(G144,ecu_admgz_adm2!D:D,ecu_admgz_adm2!C:C)</f>
        <v>Tulcán</v>
      </c>
      <c r="G144" t="str">
        <f t="shared" si="13"/>
        <v>EC0401</v>
      </c>
      <c r="H144" t="str">
        <f t="shared" si="14"/>
        <v>EC04</v>
      </c>
      <c r="I144" t="str">
        <f>_xlfn.XLOOKUP(H144,eci_admgz_adm1!D:D,eci_admgz_adm1!C:C)</f>
        <v>Carchi</v>
      </c>
      <c r="J144" t="s">
        <v>2021</v>
      </c>
      <c r="K144" s="1" t="s">
        <v>2023</v>
      </c>
    </row>
    <row r="145" spans="1:11" ht="16" x14ac:dyDescent="0.2">
      <c r="A145" t="s">
        <v>287</v>
      </c>
      <c r="B145" t="s">
        <v>288</v>
      </c>
      <c r="C145" t="str">
        <f t="shared" si="11"/>
        <v>El Chical</v>
      </c>
      <c r="D145" t="str">
        <f t="shared" si="10"/>
        <v>El Chical</v>
      </c>
      <c r="E145" t="str">
        <f t="shared" si="12"/>
        <v>EC040159</v>
      </c>
      <c r="F145" t="str">
        <f>_xlfn.XLOOKUP(G145,ecu_admgz_adm2!D:D,ecu_admgz_adm2!C:C)</f>
        <v>Tulcán</v>
      </c>
      <c r="G145" t="str">
        <f t="shared" si="13"/>
        <v>EC0401</v>
      </c>
      <c r="H145" t="str">
        <f t="shared" si="14"/>
        <v>EC04</v>
      </c>
      <c r="I145" t="str">
        <f>_xlfn.XLOOKUP(H145,eci_admgz_adm1!D:D,eci_admgz_adm1!C:C)</f>
        <v>Carchi</v>
      </c>
      <c r="J145" t="s">
        <v>2021</v>
      </c>
      <c r="K145" s="1" t="s">
        <v>2023</v>
      </c>
    </row>
    <row r="146" spans="1:11" ht="16" x14ac:dyDescent="0.2">
      <c r="A146" t="s">
        <v>289</v>
      </c>
      <c r="B146" t="s">
        <v>290</v>
      </c>
      <c r="C146" t="str">
        <f t="shared" si="11"/>
        <v>Santa Martha De Cuba</v>
      </c>
      <c r="D146" t="str">
        <f t="shared" si="10"/>
        <v>Santa Martha de Cuba</v>
      </c>
      <c r="E146" t="str">
        <f t="shared" si="12"/>
        <v>EC040161</v>
      </c>
      <c r="F146" t="str">
        <f>_xlfn.XLOOKUP(G146,ecu_admgz_adm2!D:D,ecu_admgz_adm2!C:C)</f>
        <v>Tulcán</v>
      </c>
      <c r="G146" t="str">
        <f t="shared" si="13"/>
        <v>EC0401</v>
      </c>
      <c r="H146" t="str">
        <f t="shared" si="14"/>
        <v>EC04</v>
      </c>
      <c r="I146" t="str">
        <f>_xlfn.XLOOKUP(H146,eci_admgz_adm1!D:D,eci_admgz_adm1!C:C)</f>
        <v>Carchi</v>
      </c>
      <c r="J146" t="s">
        <v>2021</v>
      </c>
      <c r="K146" s="1" t="s">
        <v>2023</v>
      </c>
    </row>
    <row r="147" spans="1:11" ht="16" x14ac:dyDescent="0.2">
      <c r="A147" t="s">
        <v>291</v>
      </c>
      <c r="B147" t="s">
        <v>156</v>
      </c>
      <c r="C147" t="str">
        <f t="shared" si="11"/>
        <v>Bolívar</v>
      </c>
      <c r="D147" t="str">
        <f t="shared" si="10"/>
        <v>Bolívar</v>
      </c>
      <c r="E147" t="str">
        <f t="shared" si="12"/>
        <v>EC040250</v>
      </c>
      <c r="F147" t="str">
        <f>_xlfn.XLOOKUP(G147,ecu_admgz_adm2!D:D,ecu_admgz_adm2!C:C)</f>
        <v>Bolívar</v>
      </c>
      <c r="G147" t="str">
        <f t="shared" si="13"/>
        <v>EC0402</v>
      </c>
      <c r="H147" t="str">
        <f t="shared" si="14"/>
        <v>EC04</v>
      </c>
      <c r="I147" t="str">
        <f>_xlfn.XLOOKUP(H147,eci_admgz_adm1!D:D,eci_admgz_adm1!C:C)</f>
        <v>Carchi</v>
      </c>
      <c r="J147" t="s">
        <v>2021</v>
      </c>
      <c r="K147" s="1" t="s">
        <v>2023</v>
      </c>
    </row>
    <row r="148" spans="1:11" ht="16" x14ac:dyDescent="0.2">
      <c r="A148" t="s">
        <v>292</v>
      </c>
      <c r="B148" t="s">
        <v>293</v>
      </c>
      <c r="C148" t="str">
        <f t="shared" si="11"/>
        <v>García Moreno</v>
      </c>
      <c r="D148" t="str">
        <f t="shared" si="10"/>
        <v>García Moreno</v>
      </c>
      <c r="E148" t="str">
        <f t="shared" si="12"/>
        <v>EC040251</v>
      </c>
      <c r="F148" t="str">
        <f>_xlfn.XLOOKUP(G148,ecu_admgz_adm2!D:D,ecu_admgz_adm2!C:C)</f>
        <v>Bolívar</v>
      </c>
      <c r="G148" t="str">
        <f t="shared" si="13"/>
        <v>EC0402</v>
      </c>
      <c r="H148" t="str">
        <f t="shared" si="14"/>
        <v>EC04</v>
      </c>
      <c r="I148" t="str">
        <f>_xlfn.XLOOKUP(H148,eci_admgz_adm1!D:D,eci_admgz_adm1!C:C)</f>
        <v>Carchi</v>
      </c>
      <c r="J148" t="s">
        <v>2021</v>
      </c>
      <c r="K148" s="1" t="s">
        <v>2023</v>
      </c>
    </row>
    <row r="149" spans="1:11" ht="16" x14ac:dyDescent="0.2">
      <c r="A149" t="s">
        <v>294</v>
      </c>
      <c r="B149" t="s">
        <v>295</v>
      </c>
      <c r="C149" t="str">
        <f t="shared" si="11"/>
        <v>Los Andes</v>
      </c>
      <c r="D149" t="str">
        <f t="shared" si="10"/>
        <v>Los Andes</v>
      </c>
      <c r="E149" t="str">
        <f t="shared" si="12"/>
        <v>EC040252</v>
      </c>
      <c r="F149" t="str">
        <f>_xlfn.XLOOKUP(G149,ecu_admgz_adm2!D:D,ecu_admgz_adm2!C:C)</f>
        <v>Bolívar</v>
      </c>
      <c r="G149" t="str">
        <f t="shared" si="13"/>
        <v>EC0402</v>
      </c>
      <c r="H149" t="str">
        <f t="shared" si="14"/>
        <v>EC04</v>
      </c>
      <c r="I149" t="str">
        <f>_xlfn.XLOOKUP(H149,eci_admgz_adm1!D:D,eci_admgz_adm1!C:C)</f>
        <v>Carchi</v>
      </c>
      <c r="J149" t="s">
        <v>2021</v>
      </c>
      <c r="K149" s="1" t="s">
        <v>2023</v>
      </c>
    </row>
    <row r="150" spans="1:11" ht="16" x14ac:dyDescent="0.2">
      <c r="A150" t="s">
        <v>296</v>
      </c>
      <c r="B150" t="s">
        <v>297</v>
      </c>
      <c r="C150" t="str">
        <f t="shared" si="11"/>
        <v>Monte Olivo</v>
      </c>
      <c r="D150" t="str">
        <f t="shared" si="10"/>
        <v>Monte Olivo</v>
      </c>
      <c r="E150" t="str">
        <f t="shared" si="12"/>
        <v>EC040253</v>
      </c>
      <c r="F150" t="str">
        <f>_xlfn.XLOOKUP(G150,ecu_admgz_adm2!D:D,ecu_admgz_adm2!C:C)</f>
        <v>Bolívar</v>
      </c>
      <c r="G150" t="str">
        <f t="shared" si="13"/>
        <v>EC0402</v>
      </c>
      <c r="H150" t="str">
        <f t="shared" si="14"/>
        <v>EC04</v>
      </c>
      <c r="I150" t="str">
        <f>_xlfn.XLOOKUP(H150,eci_admgz_adm1!D:D,eci_admgz_adm1!C:C)</f>
        <v>Carchi</v>
      </c>
      <c r="J150" t="s">
        <v>2021</v>
      </c>
      <c r="K150" s="1" t="s">
        <v>2023</v>
      </c>
    </row>
    <row r="151" spans="1:11" ht="16" x14ac:dyDescent="0.2">
      <c r="A151" t="s">
        <v>298</v>
      </c>
      <c r="B151" t="s">
        <v>299</v>
      </c>
      <c r="C151" t="str">
        <f t="shared" si="11"/>
        <v>San Vicente De Pusir</v>
      </c>
      <c r="D151" t="str">
        <f t="shared" si="10"/>
        <v>San Vicente de Pusir</v>
      </c>
      <c r="E151" t="str">
        <f t="shared" si="12"/>
        <v>EC040254</v>
      </c>
      <c r="F151" t="str">
        <f>_xlfn.XLOOKUP(G151,ecu_admgz_adm2!D:D,ecu_admgz_adm2!C:C)</f>
        <v>Bolívar</v>
      </c>
      <c r="G151" t="str">
        <f t="shared" si="13"/>
        <v>EC0402</v>
      </c>
      <c r="H151" t="str">
        <f t="shared" si="14"/>
        <v>EC04</v>
      </c>
      <c r="I151" t="str">
        <f>_xlfn.XLOOKUP(H151,eci_admgz_adm1!D:D,eci_admgz_adm1!C:C)</f>
        <v>Carchi</v>
      </c>
      <c r="J151" t="s">
        <v>2021</v>
      </c>
      <c r="K151" s="1" t="s">
        <v>2023</v>
      </c>
    </row>
    <row r="152" spans="1:11" ht="16" x14ac:dyDescent="0.2">
      <c r="A152" t="s">
        <v>300</v>
      </c>
      <c r="B152" t="s">
        <v>301</v>
      </c>
      <c r="C152" t="str">
        <f t="shared" si="11"/>
        <v>San Rafael</v>
      </c>
      <c r="D152" t="str">
        <f t="shared" si="10"/>
        <v>San Rafael</v>
      </c>
      <c r="E152" t="str">
        <f t="shared" si="12"/>
        <v>EC040255</v>
      </c>
      <c r="F152" t="str">
        <f>_xlfn.XLOOKUP(G152,ecu_admgz_adm2!D:D,ecu_admgz_adm2!C:C)</f>
        <v>Bolívar</v>
      </c>
      <c r="G152" t="str">
        <f t="shared" si="13"/>
        <v>EC0402</v>
      </c>
      <c r="H152" t="str">
        <f t="shared" si="14"/>
        <v>EC04</v>
      </c>
      <c r="I152" t="str">
        <f>_xlfn.XLOOKUP(H152,eci_admgz_adm1!D:D,eci_admgz_adm1!C:C)</f>
        <v>Carchi</v>
      </c>
      <c r="J152" t="s">
        <v>2021</v>
      </c>
      <c r="K152" s="1" t="s">
        <v>2023</v>
      </c>
    </row>
    <row r="153" spans="1:11" ht="16" x14ac:dyDescent="0.2">
      <c r="A153" t="s">
        <v>302</v>
      </c>
      <c r="B153" t="s">
        <v>303</v>
      </c>
      <c r="C153" t="str">
        <f t="shared" si="11"/>
        <v>El Ángel</v>
      </c>
      <c r="D153" t="str">
        <f t="shared" si="10"/>
        <v>El Ángel</v>
      </c>
      <c r="E153" t="str">
        <f t="shared" si="12"/>
        <v>EC040350</v>
      </c>
      <c r="F153" t="str">
        <f>_xlfn.XLOOKUP(G153,ecu_admgz_adm2!D:D,ecu_admgz_adm2!C:C)</f>
        <v>Espejo</v>
      </c>
      <c r="G153" t="str">
        <f t="shared" si="13"/>
        <v>EC0403</v>
      </c>
      <c r="H153" t="str">
        <f t="shared" si="14"/>
        <v>EC04</v>
      </c>
      <c r="I153" t="str">
        <f>_xlfn.XLOOKUP(H153,eci_admgz_adm1!D:D,eci_admgz_adm1!C:C)</f>
        <v>Carchi</v>
      </c>
      <c r="J153" t="s">
        <v>2021</v>
      </c>
      <c r="K153" s="1" t="s">
        <v>2023</v>
      </c>
    </row>
    <row r="154" spans="1:11" ht="16" x14ac:dyDescent="0.2">
      <c r="A154" t="s">
        <v>304</v>
      </c>
      <c r="B154" t="s">
        <v>305</v>
      </c>
      <c r="C154" t="str">
        <f t="shared" si="11"/>
        <v>El Goaltal</v>
      </c>
      <c r="D154" t="str">
        <f t="shared" si="10"/>
        <v>El Goaltal</v>
      </c>
      <c r="E154" t="str">
        <f t="shared" si="12"/>
        <v>EC040351</v>
      </c>
      <c r="F154" t="str">
        <f>_xlfn.XLOOKUP(G154,ecu_admgz_adm2!D:D,ecu_admgz_adm2!C:C)</f>
        <v>Espejo</v>
      </c>
      <c r="G154" t="str">
        <f t="shared" si="13"/>
        <v>EC0403</v>
      </c>
      <c r="H154" t="str">
        <f t="shared" si="14"/>
        <v>EC04</v>
      </c>
      <c r="I154" t="str">
        <f>_xlfn.XLOOKUP(H154,eci_admgz_adm1!D:D,eci_admgz_adm1!C:C)</f>
        <v>Carchi</v>
      </c>
      <c r="J154" t="s">
        <v>2021</v>
      </c>
      <c r="K154" s="1" t="s">
        <v>2023</v>
      </c>
    </row>
    <row r="155" spans="1:11" ht="16" x14ac:dyDescent="0.2">
      <c r="A155" t="s">
        <v>306</v>
      </c>
      <c r="B155" t="s">
        <v>307</v>
      </c>
      <c r="C155" t="str">
        <f t="shared" si="11"/>
        <v>La Libertad</v>
      </c>
      <c r="D155" t="str">
        <f t="shared" si="10"/>
        <v>La Libertad</v>
      </c>
      <c r="E155" t="str">
        <f t="shared" si="12"/>
        <v>EC040352</v>
      </c>
      <c r="F155" t="str">
        <f>_xlfn.XLOOKUP(G155,ecu_admgz_adm2!D:D,ecu_admgz_adm2!C:C)</f>
        <v>Espejo</v>
      </c>
      <c r="G155" t="str">
        <f t="shared" si="13"/>
        <v>EC0403</v>
      </c>
      <c r="H155" t="str">
        <f t="shared" si="14"/>
        <v>EC04</v>
      </c>
      <c r="I155" t="str">
        <f>_xlfn.XLOOKUP(H155,eci_admgz_adm1!D:D,eci_admgz_adm1!C:C)</f>
        <v>Carchi</v>
      </c>
      <c r="J155" t="s">
        <v>2021</v>
      </c>
      <c r="K155" s="1" t="s">
        <v>2023</v>
      </c>
    </row>
    <row r="156" spans="1:11" ht="16" x14ac:dyDescent="0.2">
      <c r="A156" t="s">
        <v>308</v>
      </c>
      <c r="B156" t="s">
        <v>309</v>
      </c>
      <c r="C156" t="str">
        <f t="shared" si="11"/>
        <v>San Isidro</v>
      </c>
      <c r="D156" t="str">
        <f t="shared" si="10"/>
        <v>San Isidro</v>
      </c>
      <c r="E156" t="str">
        <f t="shared" si="12"/>
        <v>EC040353</v>
      </c>
      <c r="F156" t="str">
        <f>_xlfn.XLOOKUP(G156,ecu_admgz_adm2!D:D,ecu_admgz_adm2!C:C)</f>
        <v>Espejo</v>
      </c>
      <c r="G156" t="str">
        <f t="shared" si="13"/>
        <v>EC0403</v>
      </c>
      <c r="H156" t="str">
        <f t="shared" si="14"/>
        <v>EC04</v>
      </c>
      <c r="I156" t="str">
        <f>_xlfn.XLOOKUP(H156,eci_admgz_adm1!D:D,eci_admgz_adm1!C:C)</f>
        <v>Carchi</v>
      </c>
      <c r="J156" t="s">
        <v>2021</v>
      </c>
      <c r="K156" s="1" t="s">
        <v>2023</v>
      </c>
    </row>
    <row r="157" spans="1:11" ht="16" x14ac:dyDescent="0.2">
      <c r="A157" t="s">
        <v>310</v>
      </c>
      <c r="B157" t="s">
        <v>311</v>
      </c>
      <c r="C157" t="str">
        <f t="shared" si="11"/>
        <v>Mira</v>
      </c>
      <c r="D157" t="str">
        <f t="shared" si="10"/>
        <v>Mira</v>
      </c>
      <c r="E157" t="str">
        <f t="shared" si="12"/>
        <v>EC040450</v>
      </c>
      <c r="F157" t="str">
        <f>_xlfn.XLOOKUP(G157,ecu_admgz_adm2!D:D,ecu_admgz_adm2!C:C)</f>
        <v>Mira</v>
      </c>
      <c r="G157" t="str">
        <f t="shared" si="13"/>
        <v>EC0404</v>
      </c>
      <c r="H157" t="str">
        <f t="shared" si="14"/>
        <v>EC04</v>
      </c>
      <c r="I157" t="str">
        <f>_xlfn.XLOOKUP(H157,eci_admgz_adm1!D:D,eci_admgz_adm1!C:C)</f>
        <v>Carchi</v>
      </c>
      <c r="J157" t="s">
        <v>2021</v>
      </c>
      <c r="K157" s="1" t="s">
        <v>2023</v>
      </c>
    </row>
    <row r="158" spans="1:11" ht="16" x14ac:dyDescent="0.2">
      <c r="A158" t="s">
        <v>312</v>
      </c>
      <c r="B158" t="s">
        <v>313</v>
      </c>
      <c r="C158" t="str">
        <f t="shared" si="11"/>
        <v>Concepción</v>
      </c>
      <c r="D158" t="str">
        <f t="shared" si="10"/>
        <v>Concepción</v>
      </c>
      <c r="E158" t="str">
        <f t="shared" si="12"/>
        <v>EC040451</v>
      </c>
      <c r="F158" t="str">
        <f>_xlfn.XLOOKUP(G158,ecu_admgz_adm2!D:D,ecu_admgz_adm2!C:C)</f>
        <v>Mira</v>
      </c>
      <c r="G158" t="str">
        <f t="shared" si="13"/>
        <v>EC0404</v>
      </c>
      <c r="H158" t="str">
        <f t="shared" si="14"/>
        <v>EC04</v>
      </c>
      <c r="I158" t="str">
        <f>_xlfn.XLOOKUP(H158,eci_admgz_adm1!D:D,eci_admgz_adm1!C:C)</f>
        <v>Carchi</v>
      </c>
      <c r="J158" t="s">
        <v>2021</v>
      </c>
      <c r="K158" s="1" t="s">
        <v>2023</v>
      </c>
    </row>
    <row r="159" spans="1:11" ht="16" x14ac:dyDescent="0.2">
      <c r="A159" t="s">
        <v>314</v>
      </c>
      <c r="B159" t="s">
        <v>315</v>
      </c>
      <c r="C159" t="str">
        <f t="shared" si="11"/>
        <v>Jijón Y Caamaño</v>
      </c>
      <c r="D159" t="str">
        <f t="shared" si="10"/>
        <v>Jijón y Caamaño</v>
      </c>
      <c r="E159" t="str">
        <f t="shared" si="12"/>
        <v>EC040452</v>
      </c>
      <c r="F159" t="str">
        <f>_xlfn.XLOOKUP(G159,ecu_admgz_adm2!D:D,ecu_admgz_adm2!C:C)</f>
        <v>Mira</v>
      </c>
      <c r="G159" t="str">
        <f t="shared" si="13"/>
        <v>EC0404</v>
      </c>
      <c r="H159" t="str">
        <f t="shared" si="14"/>
        <v>EC04</v>
      </c>
      <c r="I159" t="str">
        <f>_xlfn.XLOOKUP(H159,eci_admgz_adm1!D:D,eci_admgz_adm1!C:C)</f>
        <v>Carchi</v>
      </c>
      <c r="J159" t="s">
        <v>2021</v>
      </c>
      <c r="K159" s="1" t="s">
        <v>2023</v>
      </c>
    </row>
    <row r="160" spans="1:11" ht="16" x14ac:dyDescent="0.2">
      <c r="A160" t="s">
        <v>316</v>
      </c>
      <c r="B160" t="s">
        <v>317</v>
      </c>
      <c r="C160" t="str">
        <f t="shared" si="11"/>
        <v>Juan Montalvo</v>
      </c>
      <c r="D160" t="str">
        <f t="shared" si="10"/>
        <v>Juan Montalvo</v>
      </c>
      <c r="E160" t="str">
        <f t="shared" si="12"/>
        <v>EC040453</v>
      </c>
      <c r="F160" t="str">
        <f>_xlfn.XLOOKUP(G160,ecu_admgz_adm2!D:D,ecu_admgz_adm2!C:C)</f>
        <v>Mira</v>
      </c>
      <c r="G160" t="str">
        <f t="shared" si="13"/>
        <v>EC0404</v>
      </c>
      <c r="H160" t="str">
        <f t="shared" si="14"/>
        <v>EC04</v>
      </c>
      <c r="I160" t="str">
        <f>_xlfn.XLOOKUP(H160,eci_admgz_adm1!D:D,eci_admgz_adm1!C:C)</f>
        <v>Carchi</v>
      </c>
      <c r="J160" t="s">
        <v>2021</v>
      </c>
      <c r="K160" s="1" t="s">
        <v>2023</v>
      </c>
    </row>
    <row r="161" spans="1:11" ht="16" x14ac:dyDescent="0.2">
      <c r="A161" t="s">
        <v>318</v>
      </c>
      <c r="B161" t="s">
        <v>319</v>
      </c>
      <c r="C161" t="str">
        <f t="shared" si="11"/>
        <v>San Gabriel</v>
      </c>
      <c r="D161" t="str">
        <f t="shared" si="10"/>
        <v>San Gabriel</v>
      </c>
      <c r="E161" t="str">
        <f t="shared" si="12"/>
        <v>EC040550</v>
      </c>
      <c r="F161" t="str">
        <f>_xlfn.XLOOKUP(G161,ecu_admgz_adm2!D:D,ecu_admgz_adm2!C:C)</f>
        <v>Montúfar</v>
      </c>
      <c r="G161" t="str">
        <f t="shared" si="13"/>
        <v>EC0405</v>
      </c>
      <c r="H161" t="str">
        <f t="shared" si="14"/>
        <v>EC04</v>
      </c>
      <c r="I161" t="str">
        <f>_xlfn.XLOOKUP(H161,eci_admgz_adm1!D:D,eci_admgz_adm1!C:C)</f>
        <v>Carchi</v>
      </c>
      <c r="J161" t="s">
        <v>2021</v>
      </c>
      <c r="K161" s="1" t="s">
        <v>2023</v>
      </c>
    </row>
    <row r="162" spans="1:11" ht="16" x14ac:dyDescent="0.2">
      <c r="A162" t="s">
        <v>320</v>
      </c>
      <c r="B162" t="s">
        <v>321</v>
      </c>
      <c r="C162" t="str">
        <f t="shared" si="11"/>
        <v>Cristóbal Colón</v>
      </c>
      <c r="D162" t="str">
        <f t="shared" si="10"/>
        <v>Cristóbal Colón</v>
      </c>
      <c r="E162" t="str">
        <f t="shared" si="12"/>
        <v>EC040551</v>
      </c>
      <c r="F162" t="str">
        <f>_xlfn.XLOOKUP(G162,ecu_admgz_adm2!D:D,ecu_admgz_adm2!C:C)</f>
        <v>Montúfar</v>
      </c>
      <c r="G162" t="str">
        <f t="shared" si="13"/>
        <v>EC0405</v>
      </c>
      <c r="H162" t="str">
        <f t="shared" si="14"/>
        <v>EC04</v>
      </c>
      <c r="I162" t="str">
        <f>_xlfn.XLOOKUP(H162,eci_admgz_adm1!D:D,eci_admgz_adm1!C:C)</f>
        <v>Carchi</v>
      </c>
      <c r="J162" t="s">
        <v>2021</v>
      </c>
      <c r="K162" s="1" t="s">
        <v>2023</v>
      </c>
    </row>
    <row r="163" spans="1:11" ht="16" x14ac:dyDescent="0.2">
      <c r="A163" t="s">
        <v>322</v>
      </c>
      <c r="B163" t="s">
        <v>323</v>
      </c>
      <c r="C163" t="str">
        <f t="shared" si="11"/>
        <v>Chitán De Navarrete</v>
      </c>
      <c r="D163" t="str">
        <f t="shared" si="10"/>
        <v>Chitán de Navarrete</v>
      </c>
      <c r="E163" t="str">
        <f t="shared" si="12"/>
        <v>EC040552</v>
      </c>
      <c r="F163" t="str">
        <f>_xlfn.XLOOKUP(G163,ecu_admgz_adm2!D:D,ecu_admgz_adm2!C:C)</f>
        <v>Montúfar</v>
      </c>
      <c r="G163" t="str">
        <f t="shared" si="13"/>
        <v>EC0405</v>
      </c>
      <c r="H163" t="str">
        <f t="shared" si="14"/>
        <v>EC04</v>
      </c>
      <c r="I163" t="str">
        <f>_xlfn.XLOOKUP(H163,eci_admgz_adm1!D:D,eci_admgz_adm1!C:C)</f>
        <v>Carchi</v>
      </c>
      <c r="J163" t="s">
        <v>2021</v>
      </c>
      <c r="K163" s="1" t="s">
        <v>2023</v>
      </c>
    </row>
    <row r="164" spans="1:11" ht="16" x14ac:dyDescent="0.2">
      <c r="A164" t="s">
        <v>324</v>
      </c>
      <c r="B164" t="s">
        <v>325</v>
      </c>
      <c r="C164" t="str">
        <f t="shared" si="11"/>
        <v>Fernández Salvador</v>
      </c>
      <c r="D164" t="str">
        <f t="shared" si="10"/>
        <v>Fernández Salvador</v>
      </c>
      <c r="E164" t="str">
        <f t="shared" si="12"/>
        <v>EC040553</v>
      </c>
      <c r="F164" t="str">
        <f>_xlfn.XLOOKUP(G164,ecu_admgz_adm2!D:D,ecu_admgz_adm2!C:C)</f>
        <v>Montúfar</v>
      </c>
      <c r="G164" t="str">
        <f t="shared" si="13"/>
        <v>EC0405</v>
      </c>
      <c r="H164" t="str">
        <f t="shared" si="14"/>
        <v>EC04</v>
      </c>
      <c r="I164" t="str">
        <f>_xlfn.XLOOKUP(H164,eci_admgz_adm1!D:D,eci_admgz_adm1!C:C)</f>
        <v>Carchi</v>
      </c>
      <c r="J164" t="s">
        <v>2021</v>
      </c>
      <c r="K164" s="1" t="s">
        <v>2023</v>
      </c>
    </row>
    <row r="165" spans="1:11" ht="16" x14ac:dyDescent="0.2">
      <c r="A165" t="s">
        <v>326</v>
      </c>
      <c r="B165" t="s">
        <v>327</v>
      </c>
      <c r="C165" t="str">
        <f t="shared" si="11"/>
        <v>La Paz</v>
      </c>
      <c r="D165" t="str">
        <f t="shared" si="10"/>
        <v>La Paz</v>
      </c>
      <c r="E165" t="str">
        <f t="shared" si="12"/>
        <v>EC040554</v>
      </c>
      <c r="F165" t="str">
        <f>_xlfn.XLOOKUP(G165,ecu_admgz_adm2!D:D,ecu_admgz_adm2!C:C)</f>
        <v>Montúfar</v>
      </c>
      <c r="G165" t="str">
        <f t="shared" si="13"/>
        <v>EC0405</v>
      </c>
      <c r="H165" t="str">
        <f t="shared" si="14"/>
        <v>EC04</v>
      </c>
      <c r="I165" t="str">
        <f>_xlfn.XLOOKUP(H165,eci_admgz_adm1!D:D,eci_admgz_adm1!C:C)</f>
        <v>Carchi</v>
      </c>
      <c r="J165" t="s">
        <v>2021</v>
      </c>
      <c r="K165" s="1" t="s">
        <v>2023</v>
      </c>
    </row>
    <row r="166" spans="1:11" ht="16" x14ac:dyDescent="0.2">
      <c r="A166" t="s">
        <v>328</v>
      </c>
      <c r="B166" t="s">
        <v>329</v>
      </c>
      <c r="C166" t="str">
        <f t="shared" si="11"/>
        <v>Piartal</v>
      </c>
      <c r="D166" t="str">
        <f t="shared" si="10"/>
        <v>Piartal</v>
      </c>
      <c r="E166" t="str">
        <f t="shared" si="12"/>
        <v>EC040555</v>
      </c>
      <c r="F166" t="str">
        <f>_xlfn.XLOOKUP(G166,ecu_admgz_adm2!D:D,ecu_admgz_adm2!C:C)</f>
        <v>Montúfar</v>
      </c>
      <c r="G166" t="str">
        <f t="shared" si="13"/>
        <v>EC0405</v>
      </c>
      <c r="H166" t="str">
        <f t="shared" si="14"/>
        <v>EC04</v>
      </c>
      <c r="I166" t="str">
        <f>_xlfn.XLOOKUP(H166,eci_admgz_adm1!D:D,eci_admgz_adm1!C:C)</f>
        <v>Carchi</v>
      </c>
      <c r="J166" t="s">
        <v>2021</v>
      </c>
      <c r="K166" s="1" t="s">
        <v>2023</v>
      </c>
    </row>
    <row r="167" spans="1:11" ht="16" x14ac:dyDescent="0.2">
      <c r="A167" t="s">
        <v>330</v>
      </c>
      <c r="B167" t="s">
        <v>331</v>
      </c>
      <c r="C167" t="str">
        <f t="shared" si="11"/>
        <v>Huaca</v>
      </c>
      <c r="D167" t="str">
        <f t="shared" si="10"/>
        <v>Huaca</v>
      </c>
      <c r="E167" t="str">
        <f t="shared" si="12"/>
        <v>EC040650</v>
      </c>
      <c r="F167" t="str">
        <f>_xlfn.XLOOKUP(G167,ecu_admgz_adm2!D:D,ecu_admgz_adm2!C:C)</f>
        <v>San Pedro de Huaca</v>
      </c>
      <c r="G167" t="str">
        <f t="shared" si="13"/>
        <v>EC0406</v>
      </c>
      <c r="H167" t="str">
        <f t="shared" si="14"/>
        <v>EC04</v>
      </c>
      <c r="I167" t="str">
        <f>_xlfn.XLOOKUP(H167,eci_admgz_adm1!D:D,eci_admgz_adm1!C:C)</f>
        <v>Carchi</v>
      </c>
      <c r="J167" t="s">
        <v>2021</v>
      </c>
      <c r="K167" s="1" t="s">
        <v>2023</v>
      </c>
    </row>
    <row r="168" spans="1:11" ht="16" x14ac:dyDescent="0.2">
      <c r="A168" t="s">
        <v>332</v>
      </c>
      <c r="B168" t="s">
        <v>333</v>
      </c>
      <c r="C168" t="str">
        <f t="shared" si="11"/>
        <v>Mariscal Sucre</v>
      </c>
      <c r="D168" t="str">
        <f t="shared" si="10"/>
        <v>Mariscal Sucre</v>
      </c>
      <c r="E168" t="str">
        <f t="shared" si="12"/>
        <v>EC040651</v>
      </c>
      <c r="F168" t="str">
        <f>_xlfn.XLOOKUP(G168,ecu_admgz_adm2!D:D,ecu_admgz_adm2!C:C)</f>
        <v>San Pedro de Huaca</v>
      </c>
      <c r="G168" t="str">
        <f t="shared" si="13"/>
        <v>EC0406</v>
      </c>
      <c r="H168" t="str">
        <f t="shared" si="14"/>
        <v>EC04</v>
      </c>
      <c r="I168" t="str">
        <f>_xlfn.XLOOKUP(H168,eci_admgz_adm1!D:D,eci_admgz_adm1!C:C)</f>
        <v>Carchi</v>
      </c>
      <c r="J168" t="s">
        <v>2021</v>
      </c>
      <c r="K168" s="1" t="s">
        <v>2023</v>
      </c>
    </row>
    <row r="169" spans="1:11" ht="16" x14ac:dyDescent="0.2">
      <c r="A169" t="s">
        <v>334</v>
      </c>
      <c r="B169" t="s">
        <v>335</v>
      </c>
      <c r="C169" t="str">
        <f t="shared" si="11"/>
        <v>Latacunga</v>
      </c>
      <c r="D169" t="str">
        <f t="shared" si="10"/>
        <v>Latacunga</v>
      </c>
      <c r="E169" t="str">
        <f t="shared" si="12"/>
        <v>EC050150</v>
      </c>
      <c r="F169" t="str">
        <f>_xlfn.XLOOKUP(G169,ecu_admgz_adm2!D:D,ecu_admgz_adm2!C:C)</f>
        <v>Latacunga</v>
      </c>
      <c r="G169" t="str">
        <f t="shared" si="13"/>
        <v>EC0501</v>
      </c>
      <c r="H169" t="str">
        <f t="shared" si="14"/>
        <v>EC05</v>
      </c>
      <c r="I169" t="str">
        <f>_xlfn.XLOOKUP(H169,eci_admgz_adm1!D:D,eci_admgz_adm1!C:C)</f>
        <v>Cotopaxi</v>
      </c>
      <c r="J169" t="s">
        <v>2021</v>
      </c>
      <c r="K169" s="1" t="s">
        <v>2023</v>
      </c>
    </row>
    <row r="170" spans="1:11" ht="16" x14ac:dyDescent="0.2">
      <c r="A170" t="s">
        <v>336</v>
      </c>
      <c r="B170" t="s">
        <v>337</v>
      </c>
      <c r="C170" t="str">
        <f t="shared" si="11"/>
        <v>Aláquez</v>
      </c>
      <c r="D170" t="str">
        <f t="shared" si="10"/>
        <v>Aláquez</v>
      </c>
      <c r="E170" t="str">
        <f t="shared" si="12"/>
        <v>EC050151</v>
      </c>
      <c r="F170" t="str">
        <f>_xlfn.XLOOKUP(G170,ecu_admgz_adm2!D:D,ecu_admgz_adm2!C:C)</f>
        <v>Latacunga</v>
      </c>
      <c r="G170" t="str">
        <f t="shared" si="13"/>
        <v>EC0501</v>
      </c>
      <c r="H170" t="str">
        <f t="shared" si="14"/>
        <v>EC05</v>
      </c>
      <c r="I170" t="str">
        <f>_xlfn.XLOOKUP(H170,eci_admgz_adm1!D:D,eci_admgz_adm1!C:C)</f>
        <v>Cotopaxi</v>
      </c>
      <c r="J170" t="s">
        <v>2021</v>
      </c>
      <c r="K170" s="1" t="s">
        <v>2023</v>
      </c>
    </row>
    <row r="171" spans="1:11" ht="16" x14ac:dyDescent="0.2">
      <c r="A171" t="s">
        <v>338</v>
      </c>
      <c r="B171" t="s">
        <v>339</v>
      </c>
      <c r="C171" t="str">
        <f t="shared" si="11"/>
        <v>Belisario Quevedo</v>
      </c>
      <c r="D171" t="str">
        <f t="shared" si="10"/>
        <v>Belisario Quevedo</v>
      </c>
      <c r="E171" t="str">
        <f t="shared" si="12"/>
        <v>EC050152</v>
      </c>
      <c r="F171" t="str">
        <f>_xlfn.XLOOKUP(G171,ecu_admgz_adm2!D:D,ecu_admgz_adm2!C:C)</f>
        <v>Latacunga</v>
      </c>
      <c r="G171" t="str">
        <f t="shared" si="13"/>
        <v>EC0501</v>
      </c>
      <c r="H171" t="str">
        <f t="shared" si="14"/>
        <v>EC05</v>
      </c>
      <c r="I171" t="str">
        <f>_xlfn.XLOOKUP(H171,eci_admgz_adm1!D:D,eci_admgz_adm1!C:C)</f>
        <v>Cotopaxi</v>
      </c>
      <c r="J171" t="s">
        <v>2021</v>
      </c>
      <c r="K171" s="1" t="s">
        <v>2023</v>
      </c>
    </row>
    <row r="172" spans="1:11" ht="16" x14ac:dyDescent="0.2">
      <c r="A172" t="s">
        <v>340</v>
      </c>
      <c r="B172" t="s">
        <v>341</v>
      </c>
      <c r="C172" t="str">
        <f t="shared" si="11"/>
        <v>Guaytacama</v>
      </c>
      <c r="D172" t="str">
        <f t="shared" si="10"/>
        <v>Guaytacama</v>
      </c>
      <c r="E172" t="str">
        <f t="shared" si="12"/>
        <v>EC050153</v>
      </c>
      <c r="F172" t="str">
        <f>_xlfn.XLOOKUP(G172,ecu_admgz_adm2!D:D,ecu_admgz_adm2!C:C)</f>
        <v>Latacunga</v>
      </c>
      <c r="G172" t="str">
        <f t="shared" si="13"/>
        <v>EC0501</v>
      </c>
      <c r="H172" t="str">
        <f t="shared" si="14"/>
        <v>EC05</v>
      </c>
      <c r="I172" t="str">
        <f>_xlfn.XLOOKUP(H172,eci_admgz_adm1!D:D,eci_admgz_adm1!C:C)</f>
        <v>Cotopaxi</v>
      </c>
      <c r="J172" t="s">
        <v>2021</v>
      </c>
      <c r="K172" s="1" t="s">
        <v>2023</v>
      </c>
    </row>
    <row r="173" spans="1:11" ht="16" x14ac:dyDescent="0.2">
      <c r="A173" t="s">
        <v>342</v>
      </c>
      <c r="B173" t="s">
        <v>343</v>
      </c>
      <c r="C173" t="str">
        <f t="shared" si="11"/>
        <v>Joseguango Bajo</v>
      </c>
      <c r="D173" t="str">
        <f t="shared" si="10"/>
        <v>Joseguango Bajo</v>
      </c>
      <c r="E173" t="str">
        <f t="shared" si="12"/>
        <v>EC050154</v>
      </c>
      <c r="F173" t="str">
        <f>_xlfn.XLOOKUP(G173,ecu_admgz_adm2!D:D,ecu_admgz_adm2!C:C)</f>
        <v>Latacunga</v>
      </c>
      <c r="G173" t="str">
        <f t="shared" si="13"/>
        <v>EC0501</v>
      </c>
      <c r="H173" t="str">
        <f t="shared" si="14"/>
        <v>EC05</v>
      </c>
      <c r="I173" t="str">
        <f>_xlfn.XLOOKUP(H173,eci_admgz_adm1!D:D,eci_admgz_adm1!C:C)</f>
        <v>Cotopaxi</v>
      </c>
      <c r="J173" t="s">
        <v>2021</v>
      </c>
      <c r="K173" s="1" t="s">
        <v>2023</v>
      </c>
    </row>
    <row r="174" spans="1:11" ht="16" x14ac:dyDescent="0.2">
      <c r="A174" t="s">
        <v>344</v>
      </c>
      <c r="B174" t="s">
        <v>345</v>
      </c>
      <c r="C174" t="str">
        <f t="shared" si="11"/>
        <v>Mulaló</v>
      </c>
      <c r="D174" t="str">
        <f t="shared" si="10"/>
        <v>Mulaló</v>
      </c>
      <c r="E174" t="str">
        <f t="shared" si="12"/>
        <v>EC050156</v>
      </c>
      <c r="F174" t="str">
        <f>_xlfn.XLOOKUP(G174,ecu_admgz_adm2!D:D,ecu_admgz_adm2!C:C)</f>
        <v>Latacunga</v>
      </c>
      <c r="G174" t="str">
        <f t="shared" si="13"/>
        <v>EC0501</v>
      </c>
      <c r="H174" t="str">
        <f t="shared" si="14"/>
        <v>EC05</v>
      </c>
      <c r="I174" t="str">
        <f>_xlfn.XLOOKUP(H174,eci_admgz_adm1!D:D,eci_admgz_adm1!C:C)</f>
        <v>Cotopaxi</v>
      </c>
      <c r="J174" t="s">
        <v>2021</v>
      </c>
      <c r="K174" s="1" t="s">
        <v>2023</v>
      </c>
    </row>
    <row r="175" spans="1:11" ht="16" x14ac:dyDescent="0.2">
      <c r="A175" t="s">
        <v>346</v>
      </c>
      <c r="B175" t="s">
        <v>347</v>
      </c>
      <c r="C175" t="str">
        <f t="shared" si="11"/>
        <v>Once De Noviembre</v>
      </c>
      <c r="D175" t="str">
        <f t="shared" si="10"/>
        <v>Once de Noviembre</v>
      </c>
      <c r="E175" t="str">
        <f t="shared" si="12"/>
        <v>EC050157</v>
      </c>
      <c r="F175" t="str">
        <f>_xlfn.XLOOKUP(G175,ecu_admgz_adm2!D:D,ecu_admgz_adm2!C:C)</f>
        <v>Latacunga</v>
      </c>
      <c r="G175" t="str">
        <f t="shared" si="13"/>
        <v>EC0501</v>
      </c>
      <c r="H175" t="str">
        <f t="shared" si="14"/>
        <v>EC05</v>
      </c>
      <c r="I175" t="str">
        <f>_xlfn.XLOOKUP(H175,eci_admgz_adm1!D:D,eci_admgz_adm1!C:C)</f>
        <v>Cotopaxi</v>
      </c>
      <c r="J175" t="s">
        <v>2021</v>
      </c>
      <c r="K175" s="1" t="s">
        <v>2023</v>
      </c>
    </row>
    <row r="176" spans="1:11" ht="16" x14ac:dyDescent="0.2">
      <c r="A176" t="s">
        <v>348</v>
      </c>
      <c r="B176" t="s">
        <v>349</v>
      </c>
      <c r="C176" t="str">
        <f t="shared" si="11"/>
        <v>Poaló</v>
      </c>
      <c r="D176" t="str">
        <f t="shared" si="10"/>
        <v>Poaló</v>
      </c>
      <c r="E176" t="str">
        <f t="shared" si="12"/>
        <v>EC050158</v>
      </c>
      <c r="F176" t="str">
        <f>_xlfn.XLOOKUP(G176,ecu_admgz_adm2!D:D,ecu_admgz_adm2!C:C)</f>
        <v>Latacunga</v>
      </c>
      <c r="G176" t="str">
        <f t="shared" si="13"/>
        <v>EC0501</v>
      </c>
      <c r="H176" t="str">
        <f t="shared" si="14"/>
        <v>EC05</v>
      </c>
      <c r="I176" t="str">
        <f>_xlfn.XLOOKUP(H176,eci_admgz_adm1!D:D,eci_admgz_adm1!C:C)</f>
        <v>Cotopaxi</v>
      </c>
      <c r="J176" t="s">
        <v>2021</v>
      </c>
      <c r="K176" s="1" t="s">
        <v>2023</v>
      </c>
    </row>
    <row r="177" spans="1:11" ht="16" x14ac:dyDescent="0.2">
      <c r="A177" t="s">
        <v>350</v>
      </c>
      <c r="B177" t="s">
        <v>351</v>
      </c>
      <c r="C177" t="str">
        <f t="shared" si="11"/>
        <v>San Juan De Pastocalle</v>
      </c>
      <c r="D177" t="str">
        <f t="shared" si="10"/>
        <v>San Juan de Pastocalle</v>
      </c>
      <c r="E177" t="str">
        <f t="shared" si="12"/>
        <v>EC050159</v>
      </c>
      <c r="F177" t="str">
        <f>_xlfn.XLOOKUP(G177,ecu_admgz_adm2!D:D,ecu_admgz_adm2!C:C)</f>
        <v>Latacunga</v>
      </c>
      <c r="G177" t="str">
        <f t="shared" si="13"/>
        <v>EC0501</v>
      </c>
      <c r="H177" t="str">
        <f t="shared" si="14"/>
        <v>EC05</v>
      </c>
      <c r="I177" t="str">
        <f>_xlfn.XLOOKUP(H177,eci_admgz_adm1!D:D,eci_admgz_adm1!C:C)</f>
        <v>Cotopaxi</v>
      </c>
      <c r="J177" t="s">
        <v>2021</v>
      </c>
      <c r="K177" s="1" t="s">
        <v>2023</v>
      </c>
    </row>
    <row r="178" spans="1:11" ht="16" x14ac:dyDescent="0.2">
      <c r="A178" t="s">
        <v>352</v>
      </c>
      <c r="B178" t="s">
        <v>353</v>
      </c>
      <c r="C178" t="str">
        <f t="shared" si="11"/>
        <v>Tanicuchi</v>
      </c>
      <c r="D178" t="str">
        <f t="shared" si="10"/>
        <v>Tanicuchi</v>
      </c>
      <c r="E178" t="str">
        <f t="shared" si="12"/>
        <v>EC050161</v>
      </c>
      <c r="F178" t="str">
        <f>_xlfn.XLOOKUP(G178,ecu_admgz_adm2!D:D,ecu_admgz_adm2!C:C)</f>
        <v>Latacunga</v>
      </c>
      <c r="G178" t="str">
        <f t="shared" si="13"/>
        <v>EC0501</v>
      </c>
      <c r="H178" t="str">
        <f t="shared" si="14"/>
        <v>EC05</v>
      </c>
      <c r="I178" t="str">
        <f>_xlfn.XLOOKUP(H178,eci_admgz_adm1!D:D,eci_admgz_adm1!C:C)</f>
        <v>Cotopaxi</v>
      </c>
      <c r="J178" t="s">
        <v>2021</v>
      </c>
      <c r="K178" s="1" t="s">
        <v>2023</v>
      </c>
    </row>
    <row r="179" spans="1:11" ht="16" x14ac:dyDescent="0.2">
      <c r="A179" t="s">
        <v>354</v>
      </c>
      <c r="B179" t="s">
        <v>355</v>
      </c>
      <c r="C179" t="str">
        <f t="shared" si="11"/>
        <v>Toacaso</v>
      </c>
      <c r="D179" t="str">
        <f t="shared" si="10"/>
        <v>Toacaso</v>
      </c>
      <c r="E179" t="str">
        <f t="shared" si="12"/>
        <v>EC050162</v>
      </c>
      <c r="F179" t="str">
        <f>_xlfn.XLOOKUP(G179,ecu_admgz_adm2!D:D,ecu_admgz_adm2!C:C)</f>
        <v>Latacunga</v>
      </c>
      <c r="G179" t="str">
        <f t="shared" si="13"/>
        <v>EC0501</v>
      </c>
      <c r="H179" t="str">
        <f t="shared" si="14"/>
        <v>EC05</v>
      </c>
      <c r="I179" t="str">
        <f>_xlfn.XLOOKUP(H179,eci_admgz_adm1!D:D,eci_admgz_adm1!C:C)</f>
        <v>Cotopaxi</v>
      </c>
      <c r="J179" t="s">
        <v>2021</v>
      </c>
      <c r="K179" s="1" t="s">
        <v>2023</v>
      </c>
    </row>
    <row r="180" spans="1:11" ht="16" x14ac:dyDescent="0.2">
      <c r="A180" t="s">
        <v>356</v>
      </c>
      <c r="B180" t="s">
        <v>357</v>
      </c>
      <c r="C180" t="str">
        <f t="shared" si="11"/>
        <v>La Maná</v>
      </c>
      <c r="D180" t="str">
        <f t="shared" si="10"/>
        <v>La Maná</v>
      </c>
      <c r="E180" t="str">
        <f t="shared" si="12"/>
        <v>EC050250</v>
      </c>
      <c r="F180" t="str">
        <f>_xlfn.XLOOKUP(G180,ecu_admgz_adm2!D:D,ecu_admgz_adm2!C:C)</f>
        <v>La Maná</v>
      </c>
      <c r="G180" t="str">
        <f t="shared" si="13"/>
        <v>EC0502</v>
      </c>
      <c r="H180" t="str">
        <f t="shared" si="14"/>
        <v>EC05</v>
      </c>
      <c r="I180" t="str">
        <f>_xlfn.XLOOKUP(H180,eci_admgz_adm1!D:D,eci_admgz_adm1!C:C)</f>
        <v>Cotopaxi</v>
      </c>
      <c r="J180" t="s">
        <v>2021</v>
      </c>
      <c r="K180" s="1" t="s">
        <v>2023</v>
      </c>
    </row>
    <row r="181" spans="1:11" ht="16" x14ac:dyDescent="0.2">
      <c r="A181" t="s">
        <v>358</v>
      </c>
      <c r="B181" t="s">
        <v>359</v>
      </c>
      <c r="C181" t="str">
        <f t="shared" si="11"/>
        <v>Guasaganda</v>
      </c>
      <c r="D181" t="str">
        <f t="shared" si="10"/>
        <v>Guasaganda</v>
      </c>
      <c r="E181" t="str">
        <f t="shared" si="12"/>
        <v>EC050251</v>
      </c>
      <c r="F181" t="str">
        <f>_xlfn.XLOOKUP(G181,ecu_admgz_adm2!D:D,ecu_admgz_adm2!C:C)</f>
        <v>La Maná</v>
      </c>
      <c r="G181" t="str">
        <f t="shared" si="13"/>
        <v>EC0502</v>
      </c>
      <c r="H181" t="str">
        <f t="shared" si="14"/>
        <v>EC05</v>
      </c>
      <c r="I181" t="str">
        <f>_xlfn.XLOOKUP(H181,eci_admgz_adm1!D:D,eci_admgz_adm1!C:C)</f>
        <v>Cotopaxi</v>
      </c>
      <c r="J181" t="s">
        <v>2021</v>
      </c>
      <c r="K181" s="1" t="s">
        <v>2023</v>
      </c>
    </row>
    <row r="182" spans="1:11" ht="16" x14ac:dyDescent="0.2">
      <c r="A182" t="s">
        <v>360</v>
      </c>
      <c r="B182" t="s">
        <v>361</v>
      </c>
      <c r="C182" t="str">
        <f t="shared" si="11"/>
        <v>Pucayacu</v>
      </c>
      <c r="D182" t="str">
        <f t="shared" si="10"/>
        <v>Pucayacu</v>
      </c>
      <c r="E182" t="str">
        <f t="shared" si="12"/>
        <v>EC050252</v>
      </c>
      <c r="F182" t="str">
        <f>_xlfn.XLOOKUP(G182,ecu_admgz_adm2!D:D,ecu_admgz_adm2!C:C)</f>
        <v>La Maná</v>
      </c>
      <c r="G182" t="str">
        <f t="shared" si="13"/>
        <v>EC0502</v>
      </c>
      <c r="H182" t="str">
        <f t="shared" si="14"/>
        <v>EC05</v>
      </c>
      <c r="I182" t="str">
        <f>_xlfn.XLOOKUP(H182,eci_admgz_adm1!D:D,eci_admgz_adm1!C:C)</f>
        <v>Cotopaxi</v>
      </c>
      <c r="J182" t="s">
        <v>2021</v>
      </c>
      <c r="K182" s="1" t="s">
        <v>2023</v>
      </c>
    </row>
    <row r="183" spans="1:11" ht="16" x14ac:dyDescent="0.2">
      <c r="A183" t="s">
        <v>362</v>
      </c>
      <c r="B183" t="s">
        <v>363</v>
      </c>
      <c r="C183" t="str">
        <f t="shared" si="11"/>
        <v>El Corazón</v>
      </c>
      <c r="D183" t="str">
        <f t="shared" si="10"/>
        <v>El Corazón</v>
      </c>
      <c r="E183" t="str">
        <f t="shared" si="12"/>
        <v>EC050350</v>
      </c>
      <c r="F183" t="str">
        <f>_xlfn.XLOOKUP(G183,ecu_admgz_adm2!D:D,ecu_admgz_adm2!C:C)</f>
        <v>Pangua</v>
      </c>
      <c r="G183" t="str">
        <f t="shared" si="13"/>
        <v>EC0503</v>
      </c>
      <c r="H183" t="str">
        <f t="shared" si="14"/>
        <v>EC05</v>
      </c>
      <c r="I183" t="str">
        <f>_xlfn.XLOOKUP(H183,eci_admgz_adm1!D:D,eci_admgz_adm1!C:C)</f>
        <v>Cotopaxi</v>
      </c>
      <c r="J183" t="s">
        <v>2021</v>
      </c>
      <c r="K183" s="1" t="s">
        <v>2023</v>
      </c>
    </row>
    <row r="184" spans="1:11" ht="16" x14ac:dyDescent="0.2">
      <c r="A184" t="s">
        <v>364</v>
      </c>
      <c r="B184" t="s">
        <v>365</v>
      </c>
      <c r="C184" t="str">
        <f t="shared" si="11"/>
        <v>Moraspungo</v>
      </c>
      <c r="D184" t="str">
        <f t="shared" si="10"/>
        <v>Moraspungo</v>
      </c>
      <c r="E184" t="str">
        <f t="shared" si="12"/>
        <v>EC050351</v>
      </c>
      <c r="F184" t="str">
        <f>_xlfn.XLOOKUP(G184,ecu_admgz_adm2!D:D,ecu_admgz_adm2!C:C)</f>
        <v>Pangua</v>
      </c>
      <c r="G184" t="str">
        <f t="shared" si="13"/>
        <v>EC0503</v>
      </c>
      <c r="H184" t="str">
        <f t="shared" si="14"/>
        <v>EC05</v>
      </c>
      <c r="I184" t="str">
        <f>_xlfn.XLOOKUP(H184,eci_admgz_adm1!D:D,eci_admgz_adm1!C:C)</f>
        <v>Cotopaxi</v>
      </c>
      <c r="J184" t="s">
        <v>2021</v>
      </c>
      <c r="K184" s="1" t="s">
        <v>2023</v>
      </c>
    </row>
    <row r="185" spans="1:11" ht="16" x14ac:dyDescent="0.2">
      <c r="A185" t="s">
        <v>366</v>
      </c>
      <c r="B185" t="s">
        <v>367</v>
      </c>
      <c r="C185" t="str">
        <f t="shared" si="11"/>
        <v>Pinllopata</v>
      </c>
      <c r="D185" t="str">
        <f t="shared" si="10"/>
        <v>Pinllopata</v>
      </c>
      <c r="E185" t="str">
        <f t="shared" si="12"/>
        <v>EC050352</v>
      </c>
      <c r="F185" t="str">
        <f>_xlfn.XLOOKUP(G185,ecu_admgz_adm2!D:D,ecu_admgz_adm2!C:C)</f>
        <v>Pangua</v>
      </c>
      <c r="G185" t="str">
        <f t="shared" si="13"/>
        <v>EC0503</v>
      </c>
      <c r="H185" t="str">
        <f t="shared" si="14"/>
        <v>EC05</v>
      </c>
      <c r="I185" t="str">
        <f>_xlfn.XLOOKUP(H185,eci_admgz_adm1!D:D,eci_admgz_adm1!C:C)</f>
        <v>Cotopaxi</v>
      </c>
      <c r="J185" t="s">
        <v>2021</v>
      </c>
      <c r="K185" s="1" t="s">
        <v>2023</v>
      </c>
    </row>
    <row r="186" spans="1:11" ht="16" x14ac:dyDescent="0.2">
      <c r="A186" t="s">
        <v>368</v>
      </c>
      <c r="B186" t="s">
        <v>369</v>
      </c>
      <c r="C186" t="str">
        <f t="shared" si="11"/>
        <v>Ramón Campaña</v>
      </c>
      <c r="D186" t="str">
        <f t="shared" si="10"/>
        <v>Ramón Campaña</v>
      </c>
      <c r="E186" t="str">
        <f t="shared" si="12"/>
        <v>EC050353</v>
      </c>
      <c r="F186" t="str">
        <f>_xlfn.XLOOKUP(G186,ecu_admgz_adm2!D:D,ecu_admgz_adm2!C:C)</f>
        <v>Pangua</v>
      </c>
      <c r="G186" t="str">
        <f t="shared" si="13"/>
        <v>EC0503</v>
      </c>
      <c r="H186" t="str">
        <f t="shared" si="14"/>
        <v>EC05</v>
      </c>
      <c r="I186" t="str">
        <f>_xlfn.XLOOKUP(H186,eci_admgz_adm1!D:D,eci_admgz_adm1!C:C)</f>
        <v>Cotopaxi</v>
      </c>
      <c r="J186" t="s">
        <v>2021</v>
      </c>
      <c r="K186" s="1" t="s">
        <v>2023</v>
      </c>
    </row>
    <row r="187" spans="1:11" ht="16" x14ac:dyDescent="0.2">
      <c r="A187" t="s">
        <v>370</v>
      </c>
      <c r="B187" t="s">
        <v>371</v>
      </c>
      <c r="C187" t="str">
        <f t="shared" si="11"/>
        <v>Pujilí</v>
      </c>
      <c r="D187" t="str">
        <f t="shared" si="10"/>
        <v>Pujilí</v>
      </c>
      <c r="E187" t="str">
        <f t="shared" si="12"/>
        <v>EC050450</v>
      </c>
      <c r="F187" t="str">
        <f>_xlfn.XLOOKUP(G187,ecu_admgz_adm2!D:D,ecu_admgz_adm2!C:C)</f>
        <v>Pujilí</v>
      </c>
      <c r="G187" t="str">
        <f t="shared" si="13"/>
        <v>EC0504</v>
      </c>
      <c r="H187" t="str">
        <f t="shared" si="14"/>
        <v>EC05</v>
      </c>
      <c r="I187" t="str">
        <f>_xlfn.XLOOKUP(H187,eci_admgz_adm1!D:D,eci_admgz_adm1!C:C)</f>
        <v>Cotopaxi</v>
      </c>
      <c r="J187" t="s">
        <v>2021</v>
      </c>
      <c r="K187" s="1" t="s">
        <v>2023</v>
      </c>
    </row>
    <row r="188" spans="1:11" ht="16" x14ac:dyDescent="0.2">
      <c r="A188" t="s">
        <v>372</v>
      </c>
      <c r="B188" t="s">
        <v>373</v>
      </c>
      <c r="C188" t="str">
        <f t="shared" si="11"/>
        <v>Angamarca</v>
      </c>
      <c r="D188" t="str">
        <f t="shared" si="10"/>
        <v>Angamarca</v>
      </c>
      <c r="E188" t="str">
        <f t="shared" si="12"/>
        <v>EC050451</v>
      </c>
      <c r="F188" t="str">
        <f>_xlfn.XLOOKUP(G188,ecu_admgz_adm2!D:D,ecu_admgz_adm2!C:C)</f>
        <v>Pujilí</v>
      </c>
      <c r="G188" t="str">
        <f t="shared" si="13"/>
        <v>EC0504</v>
      </c>
      <c r="H188" t="str">
        <f t="shared" si="14"/>
        <v>EC05</v>
      </c>
      <c r="I188" t="str">
        <f>_xlfn.XLOOKUP(H188,eci_admgz_adm1!D:D,eci_admgz_adm1!C:C)</f>
        <v>Cotopaxi</v>
      </c>
      <c r="J188" t="s">
        <v>2021</v>
      </c>
      <c r="K188" s="1" t="s">
        <v>2023</v>
      </c>
    </row>
    <row r="189" spans="1:11" ht="16" x14ac:dyDescent="0.2">
      <c r="A189" t="s">
        <v>374</v>
      </c>
      <c r="B189" t="s">
        <v>375</v>
      </c>
      <c r="C189" t="str">
        <f t="shared" si="11"/>
        <v>Guangaje</v>
      </c>
      <c r="D189" t="str">
        <f t="shared" si="10"/>
        <v>Guangaje</v>
      </c>
      <c r="E189" t="str">
        <f t="shared" si="12"/>
        <v>EC050453</v>
      </c>
      <c r="F189" t="str">
        <f>_xlfn.XLOOKUP(G189,ecu_admgz_adm2!D:D,ecu_admgz_adm2!C:C)</f>
        <v>Pujilí</v>
      </c>
      <c r="G189" t="str">
        <f t="shared" si="13"/>
        <v>EC0504</v>
      </c>
      <c r="H189" t="str">
        <f t="shared" si="14"/>
        <v>EC05</v>
      </c>
      <c r="I189" t="str">
        <f>_xlfn.XLOOKUP(H189,eci_admgz_adm1!D:D,eci_admgz_adm1!C:C)</f>
        <v>Cotopaxi</v>
      </c>
      <c r="J189" t="s">
        <v>2021</v>
      </c>
      <c r="K189" s="1" t="s">
        <v>2023</v>
      </c>
    </row>
    <row r="190" spans="1:11" ht="16" x14ac:dyDescent="0.2">
      <c r="A190" t="s">
        <v>376</v>
      </c>
      <c r="B190" t="s">
        <v>377</v>
      </c>
      <c r="C190" t="str">
        <f t="shared" si="11"/>
        <v>La Victoria</v>
      </c>
      <c r="D190" t="str">
        <f t="shared" si="10"/>
        <v>La Victoria</v>
      </c>
      <c r="E190" t="str">
        <f t="shared" si="12"/>
        <v>EC050455</v>
      </c>
      <c r="F190" t="str">
        <f>_xlfn.XLOOKUP(G190,ecu_admgz_adm2!D:D,ecu_admgz_adm2!C:C)</f>
        <v>Pujilí</v>
      </c>
      <c r="G190" t="str">
        <f t="shared" si="13"/>
        <v>EC0504</v>
      </c>
      <c r="H190" t="str">
        <f t="shared" si="14"/>
        <v>EC05</v>
      </c>
      <c r="I190" t="str">
        <f>_xlfn.XLOOKUP(H190,eci_admgz_adm1!D:D,eci_admgz_adm1!C:C)</f>
        <v>Cotopaxi</v>
      </c>
      <c r="J190" t="s">
        <v>2021</v>
      </c>
      <c r="K190" s="1" t="s">
        <v>2023</v>
      </c>
    </row>
    <row r="191" spans="1:11" ht="16" x14ac:dyDescent="0.2">
      <c r="A191" t="s">
        <v>378</v>
      </c>
      <c r="B191" t="s">
        <v>379</v>
      </c>
      <c r="C191" t="str">
        <f t="shared" si="11"/>
        <v>Pilaló</v>
      </c>
      <c r="D191" t="str">
        <f t="shared" si="10"/>
        <v>Pilaló</v>
      </c>
      <c r="E191" t="str">
        <f t="shared" si="12"/>
        <v>EC050456</v>
      </c>
      <c r="F191" t="str">
        <f>_xlfn.XLOOKUP(G191,ecu_admgz_adm2!D:D,ecu_admgz_adm2!C:C)</f>
        <v>Pujilí</v>
      </c>
      <c r="G191" t="str">
        <f t="shared" si="13"/>
        <v>EC0504</v>
      </c>
      <c r="H191" t="str">
        <f t="shared" si="14"/>
        <v>EC05</v>
      </c>
      <c r="I191" t="str">
        <f>_xlfn.XLOOKUP(H191,eci_admgz_adm1!D:D,eci_admgz_adm1!C:C)</f>
        <v>Cotopaxi</v>
      </c>
      <c r="J191" t="s">
        <v>2021</v>
      </c>
      <c r="K191" s="1" t="s">
        <v>2023</v>
      </c>
    </row>
    <row r="192" spans="1:11" ht="16" x14ac:dyDescent="0.2">
      <c r="A192" t="s">
        <v>380</v>
      </c>
      <c r="B192" t="s">
        <v>381</v>
      </c>
      <c r="C192" t="str">
        <f t="shared" si="11"/>
        <v>Tingo</v>
      </c>
      <c r="D192" t="str">
        <f t="shared" si="10"/>
        <v>Tingo</v>
      </c>
      <c r="E192" t="str">
        <f t="shared" si="12"/>
        <v>EC050457</v>
      </c>
      <c r="F192" t="str">
        <f>_xlfn.XLOOKUP(G192,ecu_admgz_adm2!D:D,ecu_admgz_adm2!C:C)</f>
        <v>Pujilí</v>
      </c>
      <c r="G192" t="str">
        <f t="shared" si="13"/>
        <v>EC0504</v>
      </c>
      <c r="H192" t="str">
        <f t="shared" si="14"/>
        <v>EC05</v>
      </c>
      <c r="I192" t="str">
        <f>_xlfn.XLOOKUP(H192,eci_admgz_adm1!D:D,eci_admgz_adm1!C:C)</f>
        <v>Cotopaxi</v>
      </c>
      <c r="J192" t="s">
        <v>2021</v>
      </c>
      <c r="K192" s="1" t="s">
        <v>2023</v>
      </c>
    </row>
    <row r="193" spans="1:11" ht="16" x14ac:dyDescent="0.2">
      <c r="A193" t="s">
        <v>382</v>
      </c>
      <c r="B193" t="s">
        <v>383</v>
      </c>
      <c r="C193" t="str">
        <f t="shared" si="11"/>
        <v>Zumbahua</v>
      </c>
      <c r="D193" t="str">
        <f t="shared" si="10"/>
        <v>Zumbahua</v>
      </c>
      <c r="E193" t="str">
        <f t="shared" si="12"/>
        <v>EC050458</v>
      </c>
      <c r="F193" t="str">
        <f>_xlfn.XLOOKUP(G193,ecu_admgz_adm2!D:D,ecu_admgz_adm2!C:C)</f>
        <v>Pujilí</v>
      </c>
      <c r="G193" t="str">
        <f t="shared" si="13"/>
        <v>EC0504</v>
      </c>
      <c r="H193" t="str">
        <f t="shared" si="14"/>
        <v>EC05</v>
      </c>
      <c r="I193" t="str">
        <f>_xlfn.XLOOKUP(H193,eci_admgz_adm1!D:D,eci_admgz_adm1!C:C)</f>
        <v>Cotopaxi</v>
      </c>
      <c r="J193" t="s">
        <v>2021</v>
      </c>
      <c r="K193" s="1" t="s">
        <v>2023</v>
      </c>
    </row>
    <row r="194" spans="1:11" ht="16" x14ac:dyDescent="0.2">
      <c r="A194" t="s">
        <v>384</v>
      </c>
      <c r="B194" t="s">
        <v>190</v>
      </c>
      <c r="C194" t="str">
        <f t="shared" si="11"/>
        <v>San Miguel</v>
      </c>
      <c r="D194" t="str">
        <f t="shared" ref="D194:D257" si="15">SUBSTITUTE(SUBSTITUTE(SUBSTITUTE(SUBSTITUTE(SUBSTITUTE(SUBSTITUTE(PROPER($C194)," De "," de ")," La "," la ")," Del "," del ")," Los "," los ")," Y "," y "),"En","en")</f>
        <v>San Miguel</v>
      </c>
      <c r="E194" t="str">
        <f t="shared" si="12"/>
        <v>EC050550</v>
      </c>
      <c r="F194" t="str">
        <f>_xlfn.XLOOKUP(G194,ecu_admgz_adm2!D:D,ecu_admgz_adm2!C:C)</f>
        <v>Salcedo</v>
      </c>
      <c r="G194" t="str">
        <f t="shared" si="13"/>
        <v>EC0505</v>
      </c>
      <c r="H194" t="str">
        <f t="shared" si="14"/>
        <v>EC05</v>
      </c>
      <c r="I194" t="str">
        <f>_xlfn.XLOOKUP(H194,eci_admgz_adm1!D:D,eci_admgz_adm1!C:C)</f>
        <v>Cotopaxi</v>
      </c>
      <c r="J194" t="s">
        <v>2021</v>
      </c>
      <c r="K194" s="1" t="s">
        <v>2023</v>
      </c>
    </row>
    <row r="195" spans="1:11" ht="16" x14ac:dyDescent="0.2">
      <c r="A195" t="s">
        <v>385</v>
      </c>
      <c r="B195" t="s">
        <v>386</v>
      </c>
      <c r="C195" t="str">
        <f t="shared" ref="C195:C258" si="16">PROPER(B195)</f>
        <v>Antonio José Holguín</v>
      </c>
      <c r="D195" t="str">
        <f t="shared" si="15"/>
        <v>Antonio José Holguín</v>
      </c>
      <c r="E195" t="str">
        <f t="shared" ref="E195:E258" si="17">"EC"&amp;A195</f>
        <v>EC050551</v>
      </c>
      <c r="F195" t="str">
        <f>_xlfn.XLOOKUP(G195,ecu_admgz_adm2!D:D,ecu_admgz_adm2!C:C)</f>
        <v>Salcedo</v>
      </c>
      <c r="G195" t="str">
        <f t="shared" ref="G195:G258" si="18">LEFT(E195,6)</f>
        <v>EC0505</v>
      </c>
      <c r="H195" t="str">
        <f t="shared" ref="H195:H258" si="19">LEFT(G195,4)</f>
        <v>EC05</v>
      </c>
      <c r="I195" t="str">
        <f>_xlfn.XLOOKUP(H195,eci_admgz_adm1!D:D,eci_admgz_adm1!C:C)</f>
        <v>Cotopaxi</v>
      </c>
      <c r="J195" t="s">
        <v>2021</v>
      </c>
      <c r="K195" s="1" t="s">
        <v>2023</v>
      </c>
    </row>
    <row r="196" spans="1:11" ht="16" x14ac:dyDescent="0.2">
      <c r="A196" t="s">
        <v>387</v>
      </c>
      <c r="B196" t="s">
        <v>388</v>
      </c>
      <c r="C196" t="str">
        <f t="shared" si="16"/>
        <v>Cusubamba</v>
      </c>
      <c r="D196" t="str">
        <f t="shared" si="15"/>
        <v>Cusubamba</v>
      </c>
      <c r="E196" t="str">
        <f t="shared" si="17"/>
        <v>EC050552</v>
      </c>
      <c r="F196" t="str">
        <f>_xlfn.XLOOKUP(G196,ecu_admgz_adm2!D:D,ecu_admgz_adm2!C:C)</f>
        <v>Salcedo</v>
      </c>
      <c r="G196" t="str">
        <f t="shared" si="18"/>
        <v>EC0505</v>
      </c>
      <c r="H196" t="str">
        <f t="shared" si="19"/>
        <v>EC05</v>
      </c>
      <c r="I196" t="str">
        <f>_xlfn.XLOOKUP(H196,eci_admgz_adm1!D:D,eci_admgz_adm1!C:C)</f>
        <v>Cotopaxi</v>
      </c>
      <c r="J196" t="s">
        <v>2021</v>
      </c>
      <c r="K196" s="1" t="s">
        <v>2023</v>
      </c>
    </row>
    <row r="197" spans="1:11" ht="16" x14ac:dyDescent="0.2">
      <c r="A197" t="s">
        <v>389</v>
      </c>
      <c r="B197" t="s">
        <v>390</v>
      </c>
      <c r="C197" t="str">
        <f t="shared" si="16"/>
        <v>Mulalillo</v>
      </c>
      <c r="D197" t="str">
        <f t="shared" si="15"/>
        <v>Mulalillo</v>
      </c>
      <c r="E197" t="str">
        <f t="shared" si="17"/>
        <v>EC050553</v>
      </c>
      <c r="F197" t="str">
        <f>_xlfn.XLOOKUP(G197,ecu_admgz_adm2!D:D,ecu_admgz_adm2!C:C)</f>
        <v>Salcedo</v>
      </c>
      <c r="G197" t="str">
        <f t="shared" si="18"/>
        <v>EC0505</v>
      </c>
      <c r="H197" t="str">
        <f t="shared" si="19"/>
        <v>EC05</v>
      </c>
      <c r="I197" t="str">
        <f>_xlfn.XLOOKUP(H197,eci_admgz_adm1!D:D,eci_admgz_adm1!C:C)</f>
        <v>Cotopaxi</v>
      </c>
      <c r="J197" t="s">
        <v>2021</v>
      </c>
      <c r="K197" s="1" t="s">
        <v>2023</v>
      </c>
    </row>
    <row r="198" spans="1:11" ht="16" x14ac:dyDescent="0.2">
      <c r="A198" t="s">
        <v>391</v>
      </c>
      <c r="B198" t="s">
        <v>392</v>
      </c>
      <c r="C198" t="str">
        <f t="shared" si="16"/>
        <v>Mulliquindil</v>
      </c>
      <c r="D198" t="str">
        <f t="shared" si="15"/>
        <v>Mulliquindil</v>
      </c>
      <c r="E198" t="str">
        <f t="shared" si="17"/>
        <v>EC050554</v>
      </c>
      <c r="F198" t="str">
        <f>_xlfn.XLOOKUP(G198,ecu_admgz_adm2!D:D,ecu_admgz_adm2!C:C)</f>
        <v>Salcedo</v>
      </c>
      <c r="G198" t="str">
        <f t="shared" si="18"/>
        <v>EC0505</v>
      </c>
      <c r="H198" t="str">
        <f t="shared" si="19"/>
        <v>EC05</v>
      </c>
      <c r="I198" t="str">
        <f>_xlfn.XLOOKUP(H198,eci_admgz_adm1!D:D,eci_admgz_adm1!C:C)</f>
        <v>Cotopaxi</v>
      </c>
      <c r="J198" t="s">
        <v>2021</v>
      </c>
      <c r="K198" s="1" t="s">
        <v>2023</v>
      </c>
    </row>
    <row r="199" spans="1:11" ht="16" x14ac:dyDescent="0.2">
      <c r="A199" t="s">
        <v>393</v>
      </c>
      <c r="B199" t="s">
        <v>394</v>
      </c>
      <c r="C199" t="str">
        <f t="shared" si="16"/>
        <v>Pansaleo</v>
      </c>
      <c r="D199" t="str">
        <f t="shared" si="15"/>
        <v>Pansaleo</v>
      </c>
      <c r="E199" t="str">
        <f t="shared" si="17"/>
        <v>EC050555</v>
      </c>
      <c r="F199" t="str">
        <f>_xlfn.XLOOKUP(G199,ecu_admgz_adm2!D:D,ecu_admgz_adm2!C:C)</f>
        <v>Salcedo</v>
      </c>
      <c r="G199" t="str">
        <f t="shared" si="18"/>
        <v>EC0505</v>
      </c>
      <c r="H199" t="str">
        <f t="shared" si="19"/>
        <v>EC05</v>
      </c>
      <c r="I199" t="str">
        <f>_xlfn.XLOOKUP(H199,eci_admgz_adm1!D:D,eci_admgz_adm1!C:C)</f>
        <v>Cotopaxi</v>
      </c>
      <c r="J199" t="s">
        <v>2021</v>
      </c>
      <c r="K199" s="1" t="s">
        <v>2023</v>
      </c>
    </row>
    <row r="200" spans="1:11" ht="16" x14ac:dyDescent="0.2">
      <c r="A200" t="s">
        <v>395</v>
      </c>
      <c r="B200" t="s">
        <v>396</v>
      </c>
      <c r="C200" t="str">
        <f t="shared" si="16"/>
        <v>Saquisilí</v>
      </c>
      <c r="D200" t="str">
        <f t="shared" si="15"/>
        <v>Saquisilí</v>
      </c>
      <c r="E200" t="str">
        <f t="shared" si="17"/>
        <v>EC050650</v>
      </c>
      <c r="F200" t="str">
        <f>_xlfn.XLOOKUP(G200,ecu_admgz_adm2!D:D,ecu_admgz_adm2!C:C)</f>
        <v>Saquisilí</v>
      </c>
      <c r="G200" t="str">
        <f t="shared" si="18"/>
        <v>EC0506</v>
      </c>
      <c r="H200" t="str">
        <f t="shared" si="19"/>
        <v>EC05</v>
      </c>
      <c r="I200" t="str">
        <f>_xlfn.XLOOKUP(H200,eci_admgz_adm1!D:D,eci_admgz_adm1!C:C)</f>
        <v>Cotopaxi</v>
      </c>
      <c r="J200" t="s">
        <v>2021</v>
      </c>
      <c r="K200" s="1" t="s">
        <v>2023</v>
      </c>
    </row>
    <row r="201" spans="1:11" ht="16" x14ac:dyDescent="0.2">
      <c r="A201" t="s">
        <v>397</v>
      </c>
      <c r="B201" t="s">
        <v>398</v>
      </c>
      <c r="C201" t="str">
        <f t="shared" si="16"/>
        <v>Canchagua</v>
      </c>
      <c r="D201" t="str">
        <f t="shared" si="15"/>
        <v>Canchagua</v>
      </c>
      <c r="E201" t="str">
        <f t="shared" si="17"/>
        <v>EC050651</v>
      </c>
      <c r="F201" t="str">
        <f>_xlfn.XLOOKUP(G201,ecu_admgz_adm2!D:D,ecu_admgz_adm2!C:C)</f>
        <v>Saquisilí</v>
      </c>
      <c r="G201" t="str">
        <f t="shared" si="18"/>
        <v>EC0506</v>
      </c>
      <c r="H201" t="str">
        <f t="shared" si="19"/>
        <v>EC05</v>
      </c>
      <c r="I201" t="str">
        <f>_xlfn.XLOOKUP(H201,eci_admgz_adm1!D:D,eci_admgz_adm1!C:C)</f>
        <v>Cotopaxi</v>
      </c>
      <c r="J201" t="s">
        <v>2021</v>
      </c>
      <c r="K201" s="1" t="s">
        <v>2023</v>
      </c>
    </row>
    <row r="202" spans="1:11" ht="16" x14ac:dyDescent="0.2">
      <c r="A202" t="s">
        <v>399</v>
      </c>
      <c r="B202" t="s">
        <v>400</v>
      </c>
      <c r="C202" t="str">
        <f t="shared" si="16"/>
        <v>Chantilín</v>
      </c>
      <c r="D202" t="str">
        <f t="shared" si="15"/>
        <v>Chantilín</v>
      </c>
      <c r="E202" t="str">
        <f t="shared" si="17"/>
        <v>EC050652</v>
      </c>
      <c r="F202" t="str">
        <f>_xlfn.XLOOKUP(G202,ecu_admgz_adm2!D:D,ecu_admgz_adm2!C:C)</f>
        <v>Saquisilí</v>
      </c>
      <c r="G202" t="str">
        <f t="shared" si="18"/>
        <v>EC0506</v>
      </c>
      <c r="H202" t="str">
        <f t="shared" si="19"/>
        <v>EC05</v>
      </c>
      <c r="I202" t="str">
        <f>_xlfn.XLOOKUP(H202,eci_admgz_adm1!D:D,eci_admgz_adm1!C:C)</f>
        <v>Cotopaxi</v>
      </c>
      <c r="J202" t="s">
        <v>2021</v>
      </c>
      <c r="K202" s="1" t="s">
        <v>2023</v>
      </c>
    </row>
    <row r="203" spans="1:11" ht="16" x14ac:dyDescent="0.2">
      <c r="A203" t="s">
        <v>401</v>
      </c>
      <c r="B203" t="s">
        <v>402</v>
      </c>
      <c r="C203" t="str">
        <f t="shared" si="16"/>
        <v>Cochapamba</v>
      </c>
      <c r="D203" t="str">
        <f t="shared" si="15"/>
        <v>Cochapamba</v>
      </c>
      <c r="E203" t="str">
        <f t="shared" si="17"/>
        <v>EC050653</v>
      </c>
      <c r="F203" t="str">
        <f>_xlfn.XLOOKUP(G203,ecu_admgz_adm2!D:D,ecu_admgz_adm2!C:C)</f>
        <v>Saquisilí</v>
      </c>
      <c r="G203" t="str">
        <f t="shared" si="18"/>
        <v>EC0506</v>
      </c>
      <c r="H203" t="str">
        <f t="shared" si="19"/>
        <v>EC05</v>
      </c>
      <c r="I203" t="str">
        <f>_xlfn.XLOOKUP(H203,eci_admgz_adm1!D:D,eci_admgz_adm1!C:C)</f>
        <v>Cotopaxi</v>
      </c>
      <c r="J203" t="s">
        <v>2021</v>
      </c>
      <c r="K203" s="1" t="s">
        <v>2023</v>
      </c>
    </row>
    <row r="204" spans="1:11" ht="16" x14ac:dyDescent="0.2">
      <c r="A204" t="s">
        <v>403</v>
      </c>
      <c r="B204" t="s">
        <v>404</v>
      </c>
      <c r="C204" t="str">
        <f t="shared" si="16"/>
        <v>Sigchos</v>
      </c>
      <c r="D204" t="str">
        <f t="shared" si="15"/>
        <v>Sigchos</v>
      </c>
      <c r="E204" t="str">
        <f t="shared" si="17"/>
        <v>EC050750</v>
      </c>
      <c r="F204" t="str">
        <f>_xlfn.XLOOKUP(G204,ecu_admgz_adm2!D:D,ecu_admgz_adm2!C:C)</f>
        <v>Sigchos</v>
      </c>
      <c r="G204" t="str">
        <f t="shared" si="18"/>
        <v>EC0507</v>
      </c>
      <c r="H204" t="str">
        <f t="shared" si="19"/>
        <v>EC05</v>
      </c>
      <c r="I204" t="str">
        <f>_xlfn.XLOOKUP(H204,eci_admgz_adm1!D:D,eci_admgz_adm1!C:C)</f>
        <v>Cotopaxi</v>
      </c>
      <c r="J204" t="s">
        <v>2021</v>
      </c>
      <c r="K204" s="1" t="s">
        <v>2023</v>
      </c>
    </row>
    <row r="205" spans="1:11" ht="16" x14ac:dyDescent="0.2">
      <c r="A205" t="s">
        <v>405</v>
      </c>
      <c r="B205" t="s">
        <v>406</v>
      </c>
      <c r="C205" t="str">
        <f t="shared" si="16"/>
        <v>Chugchillán</v>
      </c>
      <c r="D205" t="str">
        <f t="shared" si="15"/>
        <v>Chugchillán</v>
      </c>
      <c r="E205" t="str">
        <f t="shared" si="17"/>
        <v>EC050751</v>
      </c>
      <c r="F205" t="str">
        <f>_xlfn.XLOOKUP(G205,ecu_admgz_adm2!D:D,ecu_admgz_adm2!C:C)</f>
        <v>Sigchos</v>
      </c>
      <c r="G205" t="str">
        <f t="shared" si="18"/>
        <v>EC0507</v>
      </c>
      <c r="H205" t="str">
        <f t="shared" si="19"/>
        <v>EC05</v>
      </c>
      <c r="I205" t="str">
        <f>_xlfn.XLOOKUP(H205,eci_admgz_adm1!D:D,eci_admgz_adm1!C:C)</f>
        <v>Cotopaxi</v>
      </c>
      <c r="J205" t="s">
        <v>2021</v>
      </c>
      <c r="K205" s="1" t="s">
        <v>2023</v>
      </c>
    </row>
    <row r="206" spans="1:11" ht="16" x14ac:dyDescent="0.2">
      <c r="A206" t="s">
        <v>407</v>
      </c>
      <c r="B206" t="s">
        <v>408</v>
      </c>
      <c r="C206" t="str">
        <f t="shared" si="16"/>
        <v>Isinlivi</v>
      </c>
      <c r="D206" t="str">
        <f t="shared" si="15"/>
        <v>Isinlivi</v>
      </c>
      <c r="E206" t="str">
        <f t="shared" si="17"/>
        <v>EC050752</v>
      </c>
      <c r="F206" t="str">
        <f>_xlfn.XLOOKUP(G206,ecu_admgz_adm2!D:D,ecu_admgz_adm2!C:C)</f>
        <v>Sigchos</v>
      </c>
      <c r="G206" t="str">
        <f t="shared" si="18"/>
        <v>EC0507</v>
      </c>
      <c r="H206" t="str">
        <f t="shared" si="19"/>
        <v>EC05</v>
      </c>
      <c r="I206" t="str">
        <f>_xlfn.XLOOKUP(H206,eci_admgz_adm1!D:D,eci_admgz_adm1!C:C)</f>
        <v>Cotopaxi</v>
      </c>
      <c r="J206" t="s">
        <v>2021</v>
      </c>
      <c r="K206" s="1" t="s">
        <v>2023</v>
      </c>
    </row>
    <row r="207" spans="1:11" ht="16" x14ac:dyDescent="0.2">
      <c r="A207" t="s">
        <v>409</v>
      </c>
      <c r="B207" t="s">
        <v>410</v>
      </c>
      <c r="C207" t="str">
        <f t="shared" si="16"/>
        <v>Las Pampas</v>
      </c>
      <c r="D207" t="str">
        <f t="shared" si="15"/>
        <v>Las Pampas</v>
      </c>
      <c r="E207" t="str">
        <f t="shared" si="17"/>
        <v>EC050753</v>
      </c>
      <c r="F207" t="str">
        <f>_xlfn.XLOOKUP(G207,ecu_admgz_adm2!D:D,ecu_admgz_adm2!C:C)</f>
        <v>Sigchos</v>
      </c>
      <c r="G207" t="str">
        <f t="shared" si="18"/>
        <v>EC0507</v>
      </c>
      <c r="H207" t="str">
        <f t="shared" si="19"/>
        <v>EC05</v>
      </c>
      <c r="I207" t="str">
        <f>_xlfn.XLOOKUP(H207,eci_admgz_adm1!D:D,eci_admgz_adm1!C:C)</f>
        <v>Cotopaxi</v>
      </c>
      <c r="J207" t="s">
        <v>2021</v>
      </c>
      <c r="K207" s="1" t="s">
        <v>2023</v>
      </c>
    </row>
    <row r="208" spans="1:11" ht="16" x14ac:dyDescent="0.2">
      <c r="A208" t="s">
        <v>411</v>
      </c>
      <c r="B208" t="s">
        <v>412</v>
      </c>
      <c r="C208" t="str">
        <f t="shared" si="16"/>
        <v>Palo Quemado</v>
      </c>
      <c r="D208" t="str">
        <f t="shared" si="15"/>
        <v>Palo Quemado</v>
      </c>
      <c r="E208" t="str">
        <f t="shared" si="17"/>
        <v>EC050754</v>
      </c>
      <c r="F208" t="str">
        <f>_xlfn.XLOOKUP(G208,ecu_admgz_adm2!D:D,ecu_admgz_adm2!C:C)</f>
        <v>Sigchos</v>
      </c>
      <c r="G208" t="str">
        <f t="shared" si="18"/>
        <v>EC0507</v>
      </c>
      <c r="H208" t="str">
        <f t="shared" si="19"/>
        <v>EC05</v>
      </c>
      <c r="I208" t="str">
        <f>_xlfn.XLOOKUP(H208,eci_admgz_adm1!D:D,eci_admgz_adm1!C:C)</f>
        <v>Cotopaxi</v>
      </c>
      <c r="J208" t="s">
        <v>2021</v>
      </c>
      <c r="K208" s="1" t="s">
        <v>2023</v>
      </c>
    </row>
    <row r="209" spans="1:11" ht="16" x14ac:dyDescent="0.2">
      <c r="A209" t="s">
        <v>413</v>
      </c>
      <c r="B209" t="s">
        <v>414</v>
      </c>
      <c r="C209" t="str">
        <f t="shared" si="16"/>
        <v>Riobamba</v>
      </c>
      <c r="D209" t="str">
        <f t="shared" si="15"/>
        <v>Riobamba</v>
      </c>
      <c r="E209" t="str">
        <f t="shared" si="17"/>
        <v>EC060150</v>
      </c>
      <c r="F209" t="str">
        <f>_xlfn.XLOOKUP(G209,ecu_admgz_adm2!D:D,ecu_admgz_adm2!C:C)</f>
        <v>Riobamba</v>
      </c>
      <c r="G209" t="str">
        <f t="shared" si="18"/>
        <v>EC0601</v>
      </c>
      <c r="H209" t="str">
        <f t="shared" si="19"/>
        <v>EC06</v>
      </c>
      <c r="I209" t="str">
        <f>_xlfn.XLOOKUP(H209,eci_admgz_adm1!D:D,eci_admgz_adm1!C:C)</f>
        <v>Chimborazo</v>
      </c>
      <c r="J209" t="s">
        <v>2021</v>
      </c>
      <c r="K209" s="1" t="s">
        <v>2023</v>
      </c>
    </row>
    <row r="210" spans="1:11" ht="16" x14ac:dyDescent="0.2">
      <c r="A210" t="s">
        <v>415</v>
      </c>
      <c r="B210" t="s">
        <v>416</v>
      </c>
      <c r="C210" t="str">
        <f t="shared" si="16"/>
        <v>Cacha</v>
      </c>
      <c r="D210" t="str">
        <f t="shared" si="15"/>
        <v>Cacha</v>
      </c>
      <c r="E210" t="str">
        <f t="shared" si="17"/>
        <v>EC060151</v>
      </c>
      <c r="F210" t="str">
        <f>_xlfn.XLOOKUP(G210,ecu_admgz_adm2!D:D,ecu_admgz_adm2!C:C)</f>
        <v>Riobamba</v>
      </c>
      <c r="G210" t="str">
        <f t="shared" si="18"/>
        <v>EC0601</v>
      </c>
      <c r="H210" t="str">
        <f t="shared" si="19"/>
        <v>EC06</v>
      </c>
      <c r="I210" t="str">
        <f>_xlfn.XLOOKUP(H210,eci_admgz_adm1!D:D,eci_admgz_adm1!C:C)</f>
        <v>Chimborazo</v>
      </c>
      <c r="J210" t="s">
        <v>2021</v>
      </c>
      <c r="K210" s="1" t="s">
        <v>2023</v>
      </c>
    </row>
    <row r="211" spans="1:11" ht="16" x14ac:dyDescent="0.2">
      <c r="A211" t="s">
        <v>417</v>
      </c>
      <c r="B211" t="s">
        <v>418</v>
      </c>
      <c r="C211" t="str">
        <f t="shared" si="16"/>
        <v>Calpi</v>
      </c>
      <c r="D211" t="str">
        <f t="shared" si="15"/>
        <v>Calpi</v>
      </c>
      <c r="E211" t="str">
        <f t="shared" si="17"/>
        <v>EC060152</v>
      </c>
      <c r="F211" t="str">
        <f>_xlfn.XLOOKUP(G211,ecu_admgz_adm2!D:D,ecu_admgz_adm2!C:C)</f>
        <v>Riobamba</v>
      </c>
      <c r="G211" t="str">
        <f t="shared" si="18"/>
        <v>EC0601</v>
      </c>
      <c r="H211" t="str">
        <f t="shared" si="19"/>
        <v>EC06</v>
      </c>
      <c r="I211" t="str">
        <f>_xlfn.XLOOKUP(H211,eci_admgz_adm1!D:D,eci_admgz_adm1!C:C)</f>
        <v>Chimborazo</v>
      </c>
      <c r="J211" t="s">
        <v>2021</v>
      </c>
      <c r="K211" s="1" t="s">
        <v>2023</v>
      </c>
    </row>
    <row r="212" spans="1:11" ht="16" x14ac:dyDescent="0.2">
      <c r="A212" t="s">
        <v>419</v>
      </c>
      <c r="B212" t="s">
        <v>420</v>
      </c>
      <c r="C212" t="str">
        <f t="shared" si="16"/>
        <v>Cubijíes</v>
      </c>
      <c r="D212" t="str">
        <f t="shared" si="15"/>
        <v>Cubijíes</v>
      </c>
      <c r="E212" t="str">
        <f t="shared" si="17"/>
        <v>EC060153</v>
      </c>
      <c r="F212" t="str">
        <f>_xlfn.XLOOKUP(G212,ecu_admgz_adm2!D:D,ecu_admgz_adm2!C:C)</f>
        <v>Riobamba</v>
      </c>
      <c r="G212" t="str">
        <f t="shared" si="18"/>
        <v>EC0601</v>
      </c>
      <c r="H212" t="str">
        <f t="shared" si="19"/>
        <v>EC06</v>
      </c>
      <c r="I212" t="str">
        <f>_xlfn.XLOOKUP(H212,eci_admgz_adm1!D:D,eci_admgz_adm1!C:C)</f>
        <v>Chimborazo</v>
      </c>
      <c r="J212" t="s">
        <v>2021</v>
      </c>
      <c r="K212" s="1" t="s">
        <v>2023</v>
      </c>
    </row>
    <row r="213" spans="1:11" ht="16" x14ac:dyDescent="0.2">
      <c r="A213" t="s">
        <v>421</v>
      </c>
      <c r="B213" t="s">
        <v>422</v>
      </c>
      <c r="C213" t="str">
        <f t="shared" si="16"/>
        <v>Flores</v>
      </c>
      <c r="D213" t="str">
        <f t="shared" si="15"/>
        <v>Flores</v>
      </c>
      <c r="E213" t="str">
        <f t="shared" si="17"/>
        <v>EC060154</v>
      </c>
      <c r="F213" t="str">
        <f>_xlfn.XLOOKUP(G213,ecu_admgz_adm2!D:D,ecu_admgz_adm2!C:C)</f>
        <v>Riobamba</v>
      </c>
      <c r="G213" t="str">
        <f t="shared" si="18"/>
        <v>EC0601</v>
      </c>
      <c r="H213" t="str">
        <f t="shared" si="19"/>
        <v>EC06</v>
      </c>
      <c r="I213" t="str">
        <f>_xlfn.XLOOKUP(H213,eci_admgz_adm1!D:D,eci_admgz_adm1!C:C)</f>
        <v>Chimborazo</v>
      </c>
      <c r="J213" t="s">
        <v>2021</v>
      </c>
      <c r="K213" s="1" t="s">
        <v>2023</v>
      </c>
    </row>
    <row r="214" spans="1:11" ht="16" x14ac:dyDescent="0.2">
      <c r="A214" t="s">
        <v>423</v>
      </c>
      <c r="B214" t="s">
        <v>424</v>
      </c>
      <c r="C214" t="str">
        <f t="shared" si="16"/>
        <v>Licán</v>
      </c>
      <c r="D214" t="str">
        <f t="shared" si="15"/>
        <v>Licán</v>
      </c>
      <c r="E214" t="str">
        <f t="shared" si="17"/>
        <v>EC060155</v>
      </c>
      <c r="F214" t="str">
        <f>_xlfn.XLOOKUP(G214,ecu_admgz_adm2!D:D,ecu_admgz_adm2!C:C)</f>
        <v>Riobamba</v>
      </c>
      <c r="G214" t="str">
        <f t="shared" si="18"/>
        <v>EC0601</v>
      </c>
      <c r="H214" t="str">
        <f t="shared" si="19"/>
        <v>EC06</v>
      </c>
      <c r="I214" t="str">
        <f>_xlfn.XLOOKUP(H214,eci_admgz_adm1!D:D,eci_admgz_adm1!C:C)</f>
        <v>Chimborazo</v>
      </c>
      <c r="J214" t="s">
        <v>2021</v>
      </c>
      <c r="K214" s="1" t="s">
        <v>2023</v>
      </c>
    </row>
    <row r="215" spans="1:11" ht="16" x14ac:dyDescent="0.2">
      <c r="A215" t="s">
        <v>425</v>
      </c>
      <c r="B215" t="s">
        <v>426</v>
      </c>
      <c r="C215" t="str">
        <f t="shared" si="16"/>
        <v>Licto</v>
      </c>
      <c r="D215" t="str">
        <f t="shared" si="15"/>
        <v>Licto</v>
      </c>
      <c r="E215" t="str">
        <f t="shared" si="17"/>
        <v>EC060156</v>
      </c>
      <c r="F215" t="str">
        <f>_xlfn.XLOOKUP(G215,ecu_admgz_adm2!D:D,ecu_admgz_adm2!C:C)</f>
        <v>Riobamba</v>
      </c>
      <c r="G215" t="str">
        <f t="shared" si="18"/>
        <v>EC0601</v>
      </c>
      <c r="H215" t="str">
        <f t="shared" si="19"/>
        <v>EC06</v>
      </c>
      <c r="I215" t="str">
        <f>_xlfn.XLOOKUP(H215,eci_admgz_adm1!D:D,eci_admgz_adm1!C:C)</f>
        <v>Chimborazo</v>
      </c>
      <c r="J215" t="s">
        <v>2021</v>
      </c>
      <c r="K215" s="1" t="s">
        <v>2023</v>
      </c>
    </row>
    <row r="216" spans="1:11" ht="16" x14ac:dyDescent="0.2">
      <c r="A216" t="s">
        <v>427</v>
      </c>
      <c r="B216" t="s">
        <v>428</v>
      </c>
      <c r="C216" t="str">
        <f t="shared" si="16"/>
        <v>Pungalá</v>
      </c>
      <c r="D216" t="str">
        <f t="shared" si="15"/>
        <v>Pungalá</v>
      </c>
      <c r="E216" t="str">
        <f t="shared" si="17"/>
        <v>EC060157</v>
      </c>
      <c r="F216" t="str">
        <f>_xlfn.XLOOKUP(G216,ecu_admgz_adm2!D:D,ecu_admgz_adm2!C:C)</f>
        <v>Riobamba</v>
      </c>
      <c r="G216" t="str">
        <f t="shared" si="18"/>
        <v>EC0601</v>
      </c>
      <c r="H216" t="str">
        <f t="shared" si="19"/>
        <v>EC06</v>
      </c>
      <c r="I216" t="str">
        <f>_xlfn.XLOOKUP(H216,eci_admgz_adm1!D:D,eci_admgz_adm1!C:C)</f>
        <v>Chimborazo</v>
      </c>
      <c r="J216" t="s">
        <v>2021</v>
      </c>
      <c r="K216" s="1" t="s">
        <v>2023</v>
      </c>
    </row>
    <row r="217" spans="1:11" ht="16" x14ac:dyDescent="0.2">
      <c r="A217" t="s">
        <v>429</v>
      </c>
      <c r="B217" t="s">
        <v>430</v>
      </c>
      <c r="C217" t="str">
        <f t="shared" si="16"/>
        <v>Punín</v>
      </c>
      <c r="D217" t="str">
        <f t="shared" si="15"/>
        <v>Punín</v>
      </c>
      <c r="E217" t="str">
        <f t="shared" si="17"/>
        <v>EC060158</v>
      </c>
      <c r="F217" t="str">
        <f>_xlfn.XLOOKUP(G217,ecu_admgz_adm2!D:D,ecu_admgz_adm2!C:C)</f>
        <v>Riobamba</v>
      </c>
      <c r="G217" t="str">
        <f t="shared" si="18"/>
        <v>EC0601</v>
      </c>
      <c r="H217" t="str">
        <f t="shared" si="19"/>
        <v>EC06</v>
      </c>
      <c r="I217" t="str">
        <f>_xlfn.XLOOKUP(H217,eci_admgz_adm1!D:D,eci_admgz_adm1!C:C)</f>
        <v>Chimborazo</v>
      </c>
      <c r="J217" t="s">
        <v>2021</v>
      </c>
      <c r="K217" s="1" t="s">
        <v>2023</v>
      </c>
    </row>
    <row r="218" spans="1:11" ht="16" x14ac:dyDescent="0.2">
      <c r="A218" t="s">
        <v>431</v>
      </c>
      <c r="B218" t="s">
        <v>432</v>
      </c>
      <c r="C218" t="str">
        <f t="shared" si="16"/>
        <v>Quimiag</v>
      </c>
      <c r="D218" t="str">
        <f t="shared" si="15"/>
        <v>Quimiag</v>
      </c>
      <c r="E218" t="str">
        <f t="shared" si="17"/>
        <v>EC060159</v>
      </c>
      <c r="F218" t="str">
        <f>_xlfn.XLOOKUP(G218,ecu_admgz_adm2!D:D,ecu_admgz_adm2!C:C)</f>
        <v>Riobamba</v>
      </c>
      <c r="G218" t="str">
        <f t="shared" si="18"/>
        <v>EC0601</v>
      </c>
      <c r="H218" t="str">
        <f t="shared" si="19"/>
        <v>EC06</v>
      </c>
      <c r="I218" t="str">
        <f>_xlfn.XLOOKUP(H218,eci_admgz_adm1!D:D,eci_admgz_adm1!C:C)</f>
        <v>Chimborazo</v>
      </c>
      <c r="J218" t="s">
        <v>2021</v>
      </c>
      <c r="K218" s="1" t="s">
        <v>2023</v>
      </c>
    </row>
    <row r="219" spans="1:11" ht="16" x14ac:dyDescent="0.2">
      <c r="A219" t="s">
        <v>433</v>
      </c>
      <c r="B219" t="s">
        <v>63</v>
      </c>
      <c r="C219" t="str">
        <f t="shared" si="16"/>
        <v>San Juan</v>
      </c>
      <c r="D219" t="str">
        <f t="shared" si="15"/>
        <v>San Juan</v>
      </c>
      <c r="E219" t="str">
        <f t="shared" si="17"/>
        <v>EC060160</v>
      </c>
      <c r="F219" t="str">
        <f>_xlfn.XLOOKUP(G219,ecu_admgz_adm2!D:D,ecu_admgz_adm2!C:C)</f>
        <v>Riobamba</v>
      </c>
      <c r="G219" t="str">
        <f t="shared" si="18"/>
        <v>EC0601</v>
      </c>
      <c r="H219" t="str">
        <f t="shared" si="19"/>
        <v>EC06</v>
      </c>
      <c r="I219" t="str">
        <f>_xlfn.XLOOKUP(H219,eci_admgz_adm1!D:D,eci_admgz_adm1!C:C)</f>
        <v>Chimborazo</v>
      </c>
      <c r="J219" t="s">
        <v>2021</v>
      </c>
      <c r="K219" s="1" t="s">
        <v>2023</v>
      </c>
    </row>
    <row r="220" spans="1:11" ht="16" x14ac:dyDescent="0.2">
      <c r="A220" t="s">
        <v>434</v>
      </c>
      <c r="B220" t="s">
        <v>435</v>
      </c>
      <c r="C220" t="str">
        <f t="shared" si="16"/>
        <v>San Luis</v>
      </c>
      <c r="D220" t="str">
        <f t="shared" si="15"/>
        <v>San Luis</v>
      </c>
      <c r="E220" t="str">
        <f t="shared" si="17"/>
        <v>EC060161</v>
      </c>
      <c r="F220" t="str">
        <f>_xlfn.XLOOKUP(G220,ecu_admgz_adm2!D:D,ecu_admgz_adm2!C:C)</f>
        <v>Riobamba</v>
      </c>
      <c r="G220" t="str">
        <f t="shared" si="18"/>
        <v>EC0601</v>
      </c>
      <c r="H220" t="str">
        <f t="shared" si="19"/>
        <v>EC06</v>
      </c>
      <c r="I220" t="str">
        <f>_xlfn.XLOOKUP(H220,eci_admgz_adm1!D:D,eci_admgz_adm1!C:C)</f>
        <v>Chimborazo</v>
      </c>
      <c r="J220" t="s">
        <v>2021</v>
      </c>
      <c r="K220" s="1" t="s">
        <v>2023</v>
      </c>
    </row>
    <row r="221" spans="1:11" ht="16" x14ac:dyDescent="0.2">
      <c r="A221" t="s">
        <v>436</v>
      </c>
      <c r="B221" t="s">
        <v>437</v>
      </c>
      <c r="C221" t="str">
        <f t="shared" si="16"/>
        <v>Alausí</v>
      </c>
      <c r="D221" t="str">
        <f t="shared" si="15"/>
        <v>Alausí</v>
      </c>
      <c r="E221" t="str">
        <f t="shared" si="17"/>
        <v>EC060250</v>
      </c>
      <c r="F221" t="str">
        <f>_xlfn.XLOOKUP(G221,ecu_admgz_adm2!D:D,ecu_admgz_adm2!C:C)</f>
        <v>Alausí</v>
      </c>
      <c r="G221" t="str">
        <f t="shared" si="18"/>
        <v>EC0602</v>
      </c>
      <c r="H221" t="str">
        <f t="shared" si="19"/>
        <v>EC06</v>
      </c>
      <c r="I221" t="str">
        <f>_xlfn.XLOOKUP(H221,eci_admgz_adm1!D:D,eci_admgz_adm1!C:C)</f>
        <v>Chimborazo</v>
      </c>
      <c r="J221" t="s">
        <v>2021</v>
      </c>
      <c r="K221" s="1" t="s">
        <v>2023</v>
      </c>
    </row>
    <row r="222" spans="1:11" ht="16" x14ac:dyDescent="0.2">
      <c r="A222" t="s">
        <v>438</v>
      </c>
      <c r="B222" t="s">
        <v>439</v>
      </c>
      <c r="C222" t="str">
        <f t="shared" si="16"/>
        <v>Achupallas</v>
      </c>
      <c r="D222" t="str">
        <f t="shared" si="15"/>
        <v>Achupallas</v>
      </c>
      <c r="E222" t="str">
        <f t="shared" si="17"/>
        <v>EC060251</v>
      </c>
      <c r="F222" t="str">
        <f>_xlfn.XLOOKUP(G222,ecu_admgz_adm2!D:D,ecu_admgz_adm2!C:C)</f>
        <v>Alausí</v>
      </c>
      <c r="G222" t="str">
        <f t="shared" si="18"/>
        <v>EC0602</v>
      </c>
      <c r="H222" t="str">
        <f t="shared" si="19"/>
        <v>EC06</v>
      </c>
      <c r="I222" t="str">
        <f>_xlfn.XLOOKUP(H222,eci_admgz_adm1!D:D,eci_admgz_adm1!C:C)</f>
        <v>Chimborazo</v>
      </c>
      <c r="J222" t="s">
        <v>2021</v>
      </c>
      <c r="K222" s="1" t="s">
        <v>2023</v>
      </c>
    </row>
    <row r="223" spans="1:11" ht="16" x14ac:dyDescent="0.2">
      <c r="A223" t="s">
        <v>440</v>
      </c>
      <c r="B223" t="s">
        <v>441</v>
      </c>
      <c r="C223" t="str">
        <f t="shared" si="16"/>
        <v>Guasuntos</v>
      </c>
      <c r="D223" t="str">
        <f t="shared" si="15"/>
        <v>Guasuntos</v>
      </c>
      <c r="E223" t="str">
        <f t="shared" si="17"/>
        <v>EC060253</v>
      </c>
      <c r="F223" t="str">
        <f>_xlfn.XLOOKUP(G223,ecu_admgz_adm2!D:D,ecu_admgz_adm2!C:C)</f>
        <v>Alausí</v>
      </c>
      <c r="G223" t="str">
        <f t="shared" si="18"/>
        <v>EC0602</v>
      </c>
      <c r="H223" t="str">
        <f t="shared" si="19"/>
        <v>EC06</v>
      </c>
      <c r="I223" t="str">
        <f>_xlfn.XLOOKUP(H223,eci_admgz_adm1!D:D,eci_admgz_adm1!C:C)</f>
        <v>Chimborazo</v>
      </c>
      <c r="J223" t="s">
        <v>2021</v>
      </c>
      <c r="K223" s="1" t="s">
        <v>2023</v>
      </c>
    </row>
    <row r="224" spans="1:11" ht="16" x14ac:dyDescent="0.2">
      <c r="A224" t="s">
        <v>442</v>
      </c>
      <c r="B224" t="s">
        <v>443</v>
      </c>
      <c r="C224" t="str">
        <f t="shared" si="16"/>
        <v>Huigra</v>
      </c>
      <c r="D224" t="str">
        <f t="shared" si="15"/>
        <v>Huigra</v>
      </c>
      <c r="E224" t="str">
        <f t="shared" si="17"/>
        <v>EC060254</v>
      </c>
      <c r="F224" t="str">
        <f>_xlfn.XLOOKUP(G224,ecu_admgz_adm2!D:D,ecu_admgz_adm2!C:C)</f>
        <v>Alausí</v>
      </c>
      <c r="G224" t="str">
        <f t="shared" si="18"/>
        <v>EC0602</v>
      </c>
      <c r="H224" t="str">
        <f t="shared" si="19"/>
        <v>EC06</v>
      </c>
      <c r="I224" t="str">
        <f>_xlfn.XLOOKUP(H224,eci_admgz_adm1!D:D,eci_admgz_adm1!C:C)</f>
        <v>Chimborazo</v>
      </c>
      <c r="J224" t="s">
        <v>2021</v>
      </c>
      <c r="K224" s="1" t="s">
        <v>2023</v>
      </c>
    </row>
    <row r="225" spans="1:11" ht="16" x14ac:dyDescent="0.2">
      <c r="A225" t="s">
        <v>444</v>
      </c>
      <c r="B225" t="s">
        <v>445</v>
      </c>
      <c r="C225" t="str">
        <f t="shared" si="16"/>
        <v>Multitud</v>
      </c>
      <c r="D225" t="str">
        <f t="shared" si="15"/>
        <v>Multitud</v>
      </c>
      <c r="E225" t="str">
        <f t="shared" si="17"/>
        <v>EC060255</v>
      </c>
      <c r="F225" t="str">
        <f>_xlfn.XLOOKUP(G225,ecu_admgz_adm2!D:D,ecu_admgz_adm2!C:C)</f>
        <v>Alausí</v>
      </c>
      <c r="G225" t="str">
        <f t="shared" si="18"/>
        <v>EC0602</v>
      </c>
      <c r="H225" t="str">
        <f t="shared" si="19"/>
        <v>EC06</v>
      </c>
      <c r="I225" t="str">
        <f>_xlfn.XLOOKUP(H225,eci_admgz_adm1!D:D,eci_admgz_adm1!C:C)</f>
        <v>Chimborazo</v>
      </c>
      <c r="J225" t="s">
        <v>2021</v>
      </c>
      <c r="K225" s="1" t="s">
        <v>2023</v>
      </c>
    </row>
    <row r="226" spans="1:11" ht="16" x14ac:dyDescent="0.2">
      <c r="A226" t="s">
        <v>446</v>
      </c>
      <c r="B226" t="s">
        <v>447</v>
      </c>
      <c r="C226" t="str">
        <f t="shared" si="16"/>
        <v>Pistishi</v>
      </c>
      <c r="D226" t="str">
        <f t="shared" si="15"/>
        <v>Pistishi</v>
      </c>
      <c r="E226" t="str">
        <f t="shared" si="17"/>
        <v>EC060256</v>
      </c>
      <c r="F226" t="str">
        <f>_xlfn.XLOOKUP(G226,ecu_admgz_adm2!D:D,ecu_admgz_adm2!C:C)</f>
        <v>Alausí</v>
      </c>
      <c r="G226" t="str">
        <f t="shared" si="18"/>
        <v>EC0602</v>
      </c>
      <c r="H226" t="str">
        <f t="shared" si="19"/>
        <v>EC06</v>
      </c>
      <c r="I226" t="str">
        <f>_xlfn.XLOOKUP(H226,eci_admgz_adm1!D:D,eci_admgz_adm1!C:C)</f>
        <v>Chimborazo</v>
      </c>
      <c r="J226" t="s">
        <v>2021</v>
      </c>
      <c r="K226" s="1" t="s">
        <v>2023</v>
      </c>
    </row>
    <row r="227" spans="1:11" ht="16" x14ac:dyDescent="0.2">
      <c r="A227" t="s">
        <v>448</v>
      </c>
      <c r="B227" t="s">
        <v>449</v>
      </c>
      <c r="C227" t="str">
        <f t="shared" si="16"/>
        <v>Pumallacta</v>
      </c>
      <c r="D227" t="str">
        <f t="shared" si="15"/>
        <v>Pumallacta</v>
      </c>
      <c r="E227" t="str">
        <f t="shared" si="17"/>
        <v>EC060257</v>
      </c>
      <c r="F227" t="str">
        <f>_xlfn.XLOOKUP(G227,ecu_admgz_adm2!D:D,ecu_admgz_adm2!C:C)</f>
        <v>Alausí</v>
      </c>
      <c r="G227" t="str">
        <f t="shared" si="18"/>
        <v>EC0602</v>
      </c>
      <c r="H227" t="str">
        <f t="shared" si="19"/>
        <v>EC06</v>
      </c>
      <c r="I227" t="str">
        <f>_xlfn.XLOOKUP(H227,eci_admgz_adm1!D:D,eci_admgz_adm1!C:C)</f>
        <v>Chimborazo</v>
      </c>
      <c r="J227" t="s">
        <v>2021</v>
      </c>
      <c r="K227" s="1" t="s">
        <v>2023</v>
      </c>
    </row>
    <row r="228" spans="1:11" ht="16" x14ac:dyDescent="0.2">
      <c r="A228" t="s">
        <v>450</v>
      </c>
      <c r="B228" t="s">
        <v>451</v>
      </c>
      <c r="C228" t="str">
        <f t="shared" si="16"/>
        <v>Sevilla</v>
      </c>
      <c r="D228" t="str">
        <f t="shared" si="15"/>
        <v>Sevilla</v>
      </c>
      <c r="E228" t="str">
        <f t="shared" si="17"/>
        <v>EC060258</v>
      </c>
      <c r="F228" t="str">
        <f>_xlfn.XLOOKUP(G228,ecu_admgz_adm2!D:D,ecu_admgz_adm2!C:C)</f>
        <v>Alausí</v>
      </c>
      <c r="G228" t="str">
        <f t="shared" si="18"/>
        <v>EC0602</v>
      </c>
      <c r="H228" t="str">
        <f t="shared" si="19"/>
        <v>EC06</v>
      </c>
      <c r="I228" t="str">
        <f>_xlfn.XLOOKUP(H228,eci_admgz_adm1!D:D,eci_admgz_adm1!C:C)</f>
        <v>Chimborazo</v>
      </c>
      <c r="J228" t="s">
        <v>2021</v>
      </c>
      <c r="K228" s="1" t="s">
        <v>2023</v>
      </c>
    </row>
    <row r="229" spans="1:11" ht="16" x14ac:dyDescent="0.2">
      <c r="A229" t="s">
        <v>452</v>
      </c>
      <c r="B229" t="s">
        <v>453</v>
      </c>
      <c r="C229" t="str">
        <f t="shared" si="16"/>
        <v>Sibambe</v>
      </c>
      <c r="D229" t="str">
        <f t="shared" si="15"/>
        <v>Sibambe</v>
      </c>
      <c r="E229" t="str">
        <f t="shared" si="17"/>
        <v>EC060259</v>
      </c>
      <c r="F229" t="str">
        <f>_xlfn.XLOOKUP(G229,ecu_admgz_adm2!D:D,ecu_admgz_adm2!C:C)</f>
        <v>Alausí</v>
      </c>
      <c r="G229" t="str">
        <f t="shared" si="18"/>
        <v>EC0602</v>
      </c>
      <c r="H229" t="str">
        <f t="shared" si="19"/>
        <v>EC06</v>
      </c>
      <c r="I229" t="str">
        <f>_xlfn.XLOOKUP(H229,eci_admgz_adm1!D:D,eci_admgz_adm1!C:C)</f>
        <v>Chimborazo</v>
      </c>
      <c r="J229" t="s">
        <v>2021</v>
      </c>
      <c r="K229" s="1" t="s">
        <v>2023</v>
      </c>
    </row>
    <row r="230" spans="1:11" ht="16" x14ac:dyDescent="0.2">
      <c r="A230" t="s">
        <v>454</v>
      </c>
      <c r="B230" t="s">
        <v>455</v>
      </c>
      <c r="C230" t="str">
        <f t="shared" si="16"/>
        <v>Tixán</v>
      </c>
      <c r="D230" t="str">
        <f t="shared" si="15"/>
        <v>Tixán</v>
      </c>
      <c r="E230" t="str">
        <f t="shared" si="17"/>
        <v>EC060260</v>
      </c>
      <c r="F230" t="str">
        <f>_xlfn.XLOOKUP(G230,ecu_admgz_adm2!D:D,ecu_admgz_adm2!C:C)</f>
        <v>Alausí</v>
      </c>
      <c r="G230" t="str">
        <f t="shared" si="18"/>
        <v>EC0602</v>
      </c>
      <c r="H230" t="str">
        <f t="shared" si="19"/>
        <v>EC06</v>
      </c>
      <c r="I230" t="str">
        <f>_xlfn.XLOOKUP(H230,eci_admgz_adm1!D:D,eci_admgz_adm1!C:C)</f>
        <v>Chimborazo</v>
      </c>
      <c r="J230" t="s">
        <v>2021</v>
      </c>
      <c r="K230" s="1" t="s">
        <v>2023</v>
      </c>
    </row>
    <row r="231" spans="1:11" ht="16" x14ac:dyDescent="0.2">
      <c r="A231" t="s">
        <v>456</v>
      </c>
      <c r="B231" t="s">
        <v>457</v>
      </c>
      <c r="C231" t="str">
        <f t="shared" si="16"/>
        <v>Villa La Unión</v>
      </c>
      <c r="D231" t="str">
        <f t="shared" si="15"/>
        <v>Villa la Unión</v>
      </c>
      <c r="E231" t="str">
        <f t="shared" si="17"/>
        <v>EC060350</v>
      </c>
      <c r="F231" t="str">
        <f>_xlfn.XLOOKUP(G231,ecu_admgz_adm2!D:D,ecu_admgz_adm2!C:C)</f>
        <v>Colta</v>
      </c>
      <c r="G231" t="str">
        <f t="shared" si="18"/>
        <v>EC0603</v>
      </c>
      <c r="H231" t="str">
        <f t="shared" si="19"/>
        <v>EC06</v>
      </c>
      <c r="I231" t="str">
        <f>_xlfn.XLOOKUP(H231,eci_admgz_adm1!D:D,eci_admgz_adm1!C:C)</f>
        <v>Chimborazo</v>
      </c>
      <c r="J231" t="s">
        <v>2021</v>
      </c>
      <c r="K231" s="1" t="s">
        <v>2023</v>
      </c>
    </row>
    <row r="232" spans="1:11" ht="16" x14ac:dyDescent="0.2">
      <c r="A232" t="s">
        <v>458</v>
      </c>
      <c r="B232" t="s">
        <v>459</v>
      </c>
      <c r="C232" t="str">
        <f t="shared" si="16"/>
        <v>Cañi</v>
      </c>
      <c r="D232" t="str">
        <f t="shared" si="15"/>
        <v>Cañi</v>
      </c>
      <c r="E232" t="str">
        <f t="shared" si="17"/>
        <v>EC060351</v>
      </c>
      <c r="F232" t="str">
        <f>_xlfn.XLOOKUP(G232,ecu_admgz_adm2!D:D,ecu_admgz_adm2!C:C)</f>
        <v>Colta</v>
      </c>
      <c r="G232" t="str">
        <f t="shared" si="18"/>
        <v>EC0603</v>
      </c>
      <c r="H232" t="str">
        <f t="shared" si="19"/>
        <v>EC06</v>
      </c>
      <c r="I232" t="str">
        <f>_xlfn.XLOOKUP(H232,eci_admgz_adm1!D:D,eci_admgz_adm1!C:C)</f>
        <v>Chimborazo</v>
      </c>
      <c r="J232" t="s">
        <v>2021</v>
      </c>
      <c r="K232" s="1" t="s">
        <v>2023</v>
      </c>
    </row>
    <row r="233" spans="1:11" ht="16" x14ac:dyDescent="0.2">
      <c r="A233" t="s">
        <v>460</v>
      </c>
      <c r="B233" t="s">
        <v>461</v>
      </c>
      <c r="C233" t="str">
        <f t="shared" si="16"/>
        <v>Columbe</v>
      </c>
      <c r="D233" t="str">
        <f t="shared" si="15"/>
        <v>Columbe</v>
      </c>
      <c r="E233" t="str">
        <f t="shared" si="17"/>
        <v>EC060352</v>
      </c>
      <c r="F233" t="str">
        <f>_xlfn.XLOOKUP(G233,ecu_admgz_adm2!D:D,ecu_admgz_adm2!C:C)</f>
        <v>Colta</v>
      </c>
      <c r="G233" t="str">
        <f t="shared" si="18"/>
        <v>EC0603</v>
      </c>
      <c r="H233" t="str">
        <f t="shared" si="19"/>
        <v>EC06</v>
      </c>
      <c r="I233" t="str">
        <f>_xlfn.XLOOKUP(H233,eci_admgz_adm1!D:D,eci_admgz_adm1!C:C)</f>
        <v>Chimborazo</v>
      </c>
      <c r="J233" t="s">
        <v>2021</v>
      </c>
      <c r="K233" s="1" t="s">
        <v>2023</v>
      </c>
    </row>
    <row r="234" spans="1:11" ht="16" x14ac:dyDescent="0.2">
      <c r="A234" t="s">
        <v>462</v>
      </c>
      <c r="B234" t="s">
        <v>463</v>
      </c>
      <c r="C234" t="str">
        <f t="shared" si="16"/>
        <v>Juan De Velasco</v>
      </c>
      <c r="D234" t="str">
        <f t="shared" si="15"/>
        <v>Juan de Velasco</v>
      </c>
      <c r="E234" t="str">
        <f t="shared" si="17"/>
        <v>EC060353</v>
      </c>
      <c r="F234" t="str">
        <f>_xlfn.XLOOKUP(G234,ecu_admgz_adm2!D:D,ecu_admgz_adm2!C:C)</f>
        <v>Colta</v>
      </c>
      <c r="G234" t="str">
        <f t="shared" si="18"/>
        <v>EC0603</v>
      </c>
      <c r="H234" t="str">
        <f t="shared" si="19"/>
        <v>EC06</v>
      </c>
      <c r="I234" t="str">
        <f>_xlfn.XLOOKUP(H234,eci_admgz_adm1!D:D,eci_admgz_adm1!C:C)</f>
        <v>Chimborazo</v>
      </c>
      <c r="J234" t="s">
        <v>2021</v>
      </c>
      <c r="K234" s="1" t="s">
        <v>2023</v>
      </c>
    </row>
    <row r="235" spans="1:11" ht="16" x14ac:dyDescent="0.2">
      <c r="A235" t="s">
        <v>464</v>
      </c>
      <c r="B235" t="s">
        <v>465</v>
      </c>
      <c r="C235" t="str">
        <f t="shared" si="16"/>
        <v>Santiago De Quito</v>
      </c>
      <c r="D235" t="str">
        <f t="shared" si="15"/>
        <v>Santiago de Quito</v>
      </c>
      <c r="E235" t="str">
        <f t="shared" si="17"/>
        <v>EC060354</v>
      </c>
      <c r="F235" t="str">
        <f>_xlfn.XLOOKUP(G235,ecu_admgz_adm2!D:D,ecu_admgz_adm2!C:C)</f>
        <v>Colta</v>
      </c>
      <c r="G235" t="str">
        <f t="shared" si="18"/>
        <v>EC0603</v>
      </c>
      <c r="H235" t="str">
        <f t="shared" si="19"/>
        <v>EC06</v>
      </c>
      <c r="I235" t="str">
        <f>_xlfn.XLOOKUP(H235,eci_admgz_adm1!D:D,eci_admgz_adm1!C:C)</f>
        <v>Chimborazo</v>
      </c>
      <c r="J235" t="s">
        <v>2021</v>
      </c>
      <c r="K235" s="1" t="s">
        <v>2023</v>
      </c>
    </row>
    <row r="236" spans="1:11" ht="16" x14ac:dyDescent="0.2">
      <c r="A236" t="s">
        <v>466</v>
      </c>
      <c r="B236" t="s">
        <v>467</v>
      </c>
      <c r="C236" t="str">
        <f t="shared" si="16"/>
        <v>Chambo</v>
      </c>
      <c r="D236" t="str">
        <f t="shared" si="15"/>
        <v>Chambo</v>
      </c>
      <c r="E236" t="str">
        <f t="shared" si="17"/>
        <v>EC060450</v>
      </c>
      <c r="F236" t="str">
        <f>_xlfn.XLOOKUP(G236,ecu_admgz_adm2!D:D,ecu_admgz_adm2!C:C)</f>
        <v>Chambo</v>
      </c>
      <c r="G236" t="str">
        <f t="shared" si="18"/>
        <v>EC0604</v>
      </c>
      <c r="H236" t="str">
        <f t="shared" si="19"/>
        <v>EC06</v>
      </c>
      <c r="I236" t="str">
        <f>_xlfn.XLOOKUP(H236,eci_admgz_adm1!D:D,eci_admgz_adm1!C:C)</f>
        <v>Chimborazo</v>
      </c>
      <c r="J236" t="s">
        <v>2021</v>
      </c>
      <c r="K236" s="1" t="s">
        <v>2023</v>
      </c>
    </row>
    <row r="237" spans="1:11" ht="16" x14ac:dyDescent="0.2">
      <c r="A237" t="s">
        <v>468</v>
      </c>
      <c r="B237" t="s">
        <v>469</v>
      </c>
      <c r="C237" t="str">
        <f t="shared" si="16"/>
        <v>Chunchi</v>
      </c>
      <c r="D237" t="str">
        <f t="shared" si="15"/>
        <v>Chunchi</v>
      </c>
      <c r="E237" t="str">
        <f t="shared" si="17"/>
        <v>EC060550</v>
      </c>
      <c r="F237" t="str">
        <f>_xlfn.XLOOKUP(G237,ecu_admgz_adm2!D:D,ecu_admgz_adm2!C:C)</f>
        <v>Chunchi</v>
      </c>
      <c r="G237" t="str">
        <f t="shared" si="18"/>
        <v>EC0605</v>
      </c>
      <c r="H237" t="str">
        <f t="shared" si="19"/>
        <v>EC06</v>
      </c>
      <c r="I237" t="str">
        <f>_xlfn.XLOOKUP(H237,eci_admgz_adm1!D:D,eci_admgz_adm1!C:C)</f>
        <v>Chimborazo</v>
      </c>
      <c r="J237" t="s">
        <v>2021</v>
      </c>
      <c r="K237" s="1" t="s">
        <v>2023</v>
      </c>
    </row>
    <row r="238" spans="1:11" ht="16" x14ac:dyDescent="0.2">
      <c r="A238" t="s">
        <v>470</v>
      </c>
      <c r="B238" t="s">
        <v>471</v>
      </c>
      <c r="C238" t="str">
        <f t="shared" si="16"/>
        <v>Capzol</v>
      </c>
      <c r="D238" t="str">
        <f t="shared" si="15"/>
        <v>Capzol</v>
      </c>
      <c r="E238" t="str">
        <f t="shared" si="17"/>
        <v>EC060551</v>
      </c>
      <c r="F238" t="str">
        <f>_xlfn.XLOOKUP(G238,ecu_admgz_adm2!D:D,ecu_admgz_adm2!C:C)</f>
        <v>Chunchi</v>
      </c>
      <c r="G238" t="str">
        <f t="shared" si="18"/>
        <v>EC0605</v>
      </c>
      <c r="H238" t="str">
        <f t="shared" si="19"/>
        <v>EC06</v>
      </c>
      <c r="I238" t="str">
        <f>_xlfn.XLOOKUP(H238,eci_admgz_adm1!D:D,eci_admgz_adm1!C:C)</f>
        <v>Chimborazo</v>
      </c>
      <c r="J238" t="s">
        <v>2021</v>
      </c>
      <c r="K238" s="1" t="s">
        <v>2023</v>
      </c>
    </row>
    <row r="239" spans="1:11" ht="16" x14ac:dyDescent="0.2">
      <c r="A239" t="s">
        <v>472</v>
      </c>
      <c r="B239" t="s">
        <v>473</v>
      </c>
      <c r="C239" t="str">
        <f t="shared" si="16"/>
        <v>Compud</v>
      </c>
      <c r="D239" t="str">
        <f t="shared" si="15"/>
        <v>Compud</v>
      </c>
      <c r="E239" t="str">
        <f t="shared" si="17"/>
        <v>EC060552</v>
      </c>
      <c r="F239" t="str">
        <f>_xlfn.XLOOKUP(G239,ecu_admgz_adm2!D:D,ecu_admgz_adm2!C:C)</f>
        <v>Chunchi</v>
      </c>
      <c r="G239" t="str">
        <f t="shared" si="18"/>
        <v>EC0605</v>
      </c>
      <c r="H239" t="str">
        <f t="shared" si="19"/>
        <v>EC06</v>
      </c>
      <c r="I239" t="str">
        <f>_xlfn.XLOOKUP(H239,eci_admgz_adm1!D:D,eci_admgz_adm1!C:C)</f>
        <v>Chimborazo</v>
      </c>
      <c r="J239" t="s">
        <v>2021</v>
      </c>
      <c r="K239" s="1" t="s">
        <v>2023</v>
      </c>
    </row>
    <row r="240" spans="1:11" ht="16" x14ac:dyDescent="0.2">
      <c r="A240" t="s">
        <v>474</v>
      </c>
      <c r="B240" t="s">
        <v>475</v>
      </c>
      <c r="C240" t="str">
        <f t="shared" si="16"/>
        <v>Gonzol</v>
      </c>
      <c r="D240" t="str">
        <f t="shared" si="15"/>
        <v>Gonzol</v>
      </c>
      <c r="E240" t="str">
        <f t="shared" si="17"/>
        <v>EC060553</v>
      </c>
      <c r="F240" t="str">
        <f>_xlfn.XLOOKUP(G240,ecu_admgz_adm2!D:D,ecu_admgz_adm2!C:C)</f>
        <v>Chunchi</v>
      </c>
      <c r="G240" t="str">
        <f t="shared" si="18"/>
        <v>EC0605</v>
      </c>
      <c r="H240" t="str">
        <f t="shared" si="19"/>
        <v>EC06</v>
      </c>
      <c r="I240" t="str">
        <f>_xlfn.XLOOKUP(H240,eci_admgz_adm1!D:D,eci_admgz_adm1!C:C)</f>
        <v>Chimborazo</v>
      </c>
      <c r="J240" t="s">
        <v>2021</v>
      </c>
      <c r="K240" s="1" t="s">
        <v>2023</v>
      </c>
    </row>
    <row r="241" spans="1:11" ht="16" x14ac:dyDescent="0.2">
      <c r="A241" t="s">
        <v>476</v>
      </c>
      <c r="B241" t="s">
        <v>477</v>
      </c>
      <c r="C241" t="str">
        <f t="shared" si="16"/>
        <v>Llagos</v>
      </c>
      <c r="D241" t="str">
        <f t="shared" si="15"/>
        <v>Llagos</v>
      </c>
      <c r="E241" t="str">
        <f t="shared" si="17"/>
        <v>EC060554</v>
      </c>
      <c r="F241" t="str">
        <f>_xlfn.XLOOKUP(G241,ecu_admgz_adm2!D:D,ecu_admgz_adm2!C:C)</f>
        <v>Chunchi</v>
      </c>
      <c r="G241" t="str">
        <f t="shared" si="18"/>
        <v>EC0605</v>
      </c>
      <c r="H241" t="str">
        <f t="shared" si="19"/>
        <v>EC06</v>
      </c>
      <c r="I241" t="str">
        <f>_xlfn.XLOOKUP(H241,eci_admgz_adm1!D:D,eci_admgz_adm1!C:C)</f>
        <v>Chimborazo</v>
      </c>
      <c r="J241" t="s">
        <v>2021</v>
      </c>
      <c r="K241" s="1" t="s">
        <v>2023</v>
      </c>
    </row>
    <row r="242" spans="1:11" ht="16" x14ac:dyDescent="0.2">
      <c r="A242" t="s">
        <v>478</v>
      </c>
      <c r="B242" t="s">
        <v>479</v>
      </c>
      <c r="C242" t="str">
        <f t="shared" si="16"/>
        <v>Guamote</v>
      </c>
      <c r="D242" t="str">
        <f t="shared" si="15"/>
        <v>Guamote</v>
      </c>
      <c r="E242" t="str">
        <f t="shared" si="17"/>
        <v>EC060650</v>
      </c>
      <c r="F242" t="str">
        <f>_xlfn.XLOOKUP(G242,ecu_admgz_adm2!D:D,ecu_admgz_adm2!C:C)</f>
        <v>Guamote</v>
      </c>
      <c r="G242" t="str">
        <f t="shared" si="18"/>
        <v>EC0606</v>
      </c>
      <c r="H242" t="str">
        <f t="shared" si="19"/>
        <v>EC06</v>
      </c>
      <c r="I242" t="str">
        <f>_xlfn.XLOOKUP(H242,eci_admgz_adm1!D:D,eci_admgz_adm1!C:C)</f>
        <v>Chimborazo</v>
      </c>
      <c r="J242" t="s">
        <v>2021</v>
      </c>
      <c r="K242" s="1" t="s">
        <v>2023</v>
      </c>
    </row>
    <row r="243" spans="1:11" ht="16" x14ac:dyDescent="0.2">
      <c r="A243" t="s">
        <v>480</v>
      </c>
      <c r="B243" t="s">
        <v>481</v>
      </c>
      <c r="C243" t="str">
        <f t="shared" si="16"/>
        <v>Cebadas</v>
      </c>
      <c r="D243" t="str">
        <f t="shared" si="15"/>
        <v>Cebadas</v>
      </c>
      <c r="E243" t="str">
        <f t="shared" si="17"/>
        <v>EC060651</v>
      </c>
      <c r="F243" t="str">
        <f>_xlfn.XLOOKUP(G243,ecu_admgz_adm2!D:D,ecu_admgz_adm2!C:C)</f>
        <v>Guamote</v>
      </c>
      <c r="G243" t="str">
        <f t="shared" si="18"/>
        <v>EC0606</v>
      </c>
      <c r="H243" t="str">
        <f t="shared" si="19"/>
        <v>EC06</v>
      </c>
      <c r="I243" t="str">
        <f>_xlfn.XLOOKUP(H243,eci_admgz_adm1!D:D,eci_admgz_adm1!C:C)</f>
        <v>Chimborazo</v>
      </c>
      <c r="J243" t="s">
        <v>2021</v>
      </c>
      <c r="K243" s="1" t="s">
        <v>2023</v>
      </c>
    </row>
    <row r="244" spans="1:11" ht="16" x14ac:dyDescent="0.2">
      <c r="A244" t="s">
        <v>482</v>
      </c>
      <c r="B244" t="s">
        <v>483</v>
      </c>
      <c r="C244" t="str">
        <f t="shared" si="16"/>
        <v>Palmira</v>
      </c>
      <c r="D244" t="str">
        <f t="shared" si="15"/>
        <v>Palmira</v>
      </c>
      <c r="E244" t="str">
        <f t="shared" si="17"/>
        <v>EC060652</v>
      </c>
      <c r="F244" t="str">
        <f>_xlfn.XLOOKUP(G244,ecu_admgz_adm2!D:D,ecu_admgz_adm2!C:C)</f>
        <v>Guamote</v>
      </c>
      <c r="G244" t="str">
        <f t="shared" si="18"/>
        <v>EC0606</v>
      </c>
      <c r="H244" t="str">
        <f t="shared" si="19"/>
        <v>EC06</v>
      </c>
      <c r="I244" t="str">
        <f>_xlfn.XLOOKUP(H244,eci_admgz_adm1!D:D,eci_admgz_adm1!C:C)</f>
        <v>Chimborazo</v>
      </c>
      <c r="J244" t="s">
        <v>2021</v>
      </c>
      <c r="K244" s="1" t="s">
        <v>2023</v>
      </c>
    </row>
    <row r="245" spans="1:11" ht="16" x14ac:dyDescent="0.2">
      <c r="A245" t="s">
        <v>484</v>
      </c>
      <c r="B245" t="s">
        <v>485</v>
      </c>
      <c r="C245" t="str">
        <f t="shared" si="16"/>
        <v>Guano</v>
      </c>
      <c r="D245" t="str">
        <f t="shared" si="15"/>
        <v>Guano</v>
      </c>
      <c r="E245" t="str">
        <f t="shared" si="17"/>
        <v>EC060750</v>
      </c>
      <c r="F245" t="str">
        <f>_xlfn.XLOOKUP(G245,ecu_admgz_adm2!D:D,ecu_admgz_adm2!C:C)</f>
        <v>Guano</v>
      </c>
      <c r="G245" t="str">
        <f t="shared" si="18"/>
        <v>EC0607</v>
      </c>
      <c r="H245" t="str">
        <f t="shared" si="19"/>
        <v>EC06</v>
      </c>
      <c r="I245" t="str">
        <f>_xlfn.XLOOKUP(H245,eci_admgz_adm1!D:D,eci_admgz_adm1!C:C)</f>
        <v>Chimborazo</v>
      </c>
      <c r="J245" t="s">
        <v>2021</v>
      </c>
      <c r="K245" s="1" t="s">
        <v>2023</v>
      </c>
    </row>
    <row r="246" spans="1:11" ht="16" x14ac:dyDescent="0.2">
      <c r="A246" t="s">
        <v>486</v>
      </c>
      <c r="B246" t="s">
        <v>487</v>
      </c>
      <c r="C246" t="str">
        <f t="shared" si="16"/>
        <v>Guanando</v>
      </c>
      <c r="D246" t="str">
        <f t="shared" si="15"/>
        <v>Guanando</v>
      </c>
      <c r="E246" t="str">
        <f t="shared" si="17"/>
        <v>EC060751</v>
      </c>
      <c r="F246" t="str">
        <f>_xlfn.XLOOKUP(G246,ecu_admgz_adm2!D:D,ecu_admgz_adm2!C:C)</f>
        <v>Guano</v>
      </c>
      <c r="G246" t="str">
        <f t="shared" si="18"/>
        <v>EC0607</v>
      </c>
      <c r="H246" t="str">
        <f t="shared" si="19"/>
        <v>EC06</v>
      </c>
      <c r="I246" t="str">
        <f>_xlfn.XLOOKUP(H246,eci_admgz_adm1!D:D,eci_admgz_adm1!C:C)</f>
        <v>Chimborazo</v>
      </c>
      <c r="J246" t="s">
        <v>2021</v>
      </c>
      <c r="K246" s="1" t="s">
        <v>2023</v>
      </c>
    </row>
    <row r="247" spans="1:11" ht="16" x14ac:dyDescent="0.2">
      <c r="A247" t="s">
        <v>488</v>
      </c>
      <c r="B247" t="s">
        <v>489</v>
      </c>
      <c r="C247" t="str">
        <f t="shared" si="16"/>
        <v>Ilapo</v>
      </c>
      <c r="D247" t="str">
        <f t="shared" si="15"/>
        <v>Ilapo</v>
      </c>
      <c r="E247" t="str">
        <f t="shared" si="17"/>
        <v>EC060752</v>
      </c>
      <c r="F247" t="str">
        <f>_xlfn.XLOOKUP(G247,ecu_admgz_adm2!D:D,ecu_admgz_adm2!C:C)</f>
        <v>Guano</v>
      </c>
      <c r="G247" t="str">
        <f t="shared" si="18"/>
        <v>EC0607</v>
      </c>
      <c r="H247" t="str">
        <f t="shared" si="19"/>
        <v>EC06</v>
      </c>
      <c r="I247" t="str">
        <f>_xlfn.XLOOKUP(H247,eci_admgz_adm1!D:D,eci_admgz_adm1!C:C)</f>
        <v>Chimborazo</v>
      </c>
      <c r="J247" t="s">
        <v>2021</v>
      </c>
      <c r="K247" s="1" t="s">
        <v>2023</v>
      </c>
    </row>
    <row r="248" spans="1:11" ht="16" x14ac:dyDescent="0.2">
      <c r="A248" t="s">
        <v>490</v>
      </c>
      <c r="B248" t="s">
        <v>491</v>
      </c>
      <c r="C248" t="str">
        <f t="shared" si="16"/>
        <v>La Providencia</v>
      </c>
      <c r="D248" t="str">
        <f t="shared" si="15"/>
        <v>La Providencia</v>
      </c>
      <c r="E248" t="str">
        <f t="shared" si="17"/>
        <v>EC060753</v>
      </c>
      <c r="F248" t="str">
        <f>_xlfn.XLOOKUP(G248,ecu_admgz_adm2!D:D,ecu_admgz_adm2!C:C)</f>
        <v>Guano</v>
      </c>
      <c r="G248" t="str">
        <f t="shared" si="18"/>
        <v>EC0607</v>
      </c>
      <c r="H248" t="str">
        <f t="shared" si="19"/>
        <v>EC06</v>
      </c>
      <c r="I248" t="str">
        <f>_xlfn.XLOOKUP(H248,eci_admgz_adm1!D:D,eci_admgz_adm1!C:C)</f>
        <v>Chimborazo</v>
      </c>
      <c r="J248" t="s">
        <v>2021</v>
      </c>
      <c r="K248" s="1" t="s">
        <v>2023</v>
      </c>
    </row>
    <row r="249" spans="1:11" ht="16" x14ac:dyDescent="0.2">
      <c r="A249" t="s">
        <v>492</v>
      </c>
      <c r="B249" t="s">
        <v>493</v>
      </c>
      <c r="C249" t="str">
        <f t="shared" si="16"/>
        <v>San Andrés</v>
      </c>
      <c r="D249" t="str">
        <f t="shared" si="15"/>
        <v>San Andrés</v>
      </c>
      <c r="E249" t="str">
        <f t="shared" si="17"/>
        <v>EC060754</v>
      </c>
      <c r="F249" t="str">
        <f>_xlfn.XLOOKUP(G249,ecu_admgz_adm2!D:D,ecu_admgz_adm2!C:C)</f>
        <v>Guano</v>
      </c>
      <c r="G249" t="str">
        <f t="shared" si="18"/>
        <v>EC0607</v>
      </c>
      <c r="H249" t="str">
        <f t="shared" si="19"/>
        <v>EC06</v>
      </c>
      <c r="I249" t="str">
        <f>_xlfn.XLOOKUP(H249,eci_admgz_adm1!D:D,eci_admgz_adm1!C:C)</f>
        <v>Chimborazo</v>
      </c>
      <c r="J249" t="s">
        <v>2021</v>
      </c>
      <c r="K249" s="1" t="s">
        <v>2023</v>
      </c>
    </row>
    <row r="250" spans="1:11" ht="16" x14ac:dyDescent="0.2">
      <c r="A250" t="s">
        <v>494</v>
      </c>
      <c r="B250" t="s">
        <v>51</v>
      </c>
      <c r="C250" t="str">
        <f t="shared" si="16"/>
        <v>San Gerardo</v>
      </c>
      <c r="D250" t="str">
        <f t="shared" si="15"/>
        <v>San Gerardo</v>
      </c>
      <c r="E250" t="str">
        <f t="shared" si="17"/>
        <v>EC060755</v>
      </c>
      <c r="F250" t="str">
        <f>_xlfn.XLOOKUP(G250,ecu_admgz_adm2!D:D,ecu_admgz_adm2!C:C)</f>
        <v>Guano</v>
      </c>
      <c r="G250" t="str">
        <f t="shared" si="18"/>
        <v>EC0607</v>
      </c>
      <c r="H250" t="str">
        <f t="shared" si="19"/>
        <v>EC06</v>
      </c>
      <c r="I250" t="str">
        <f>_xlfn.XLOOKUP(H250,eci_admgz_adm1!D:D,eci_admgz_adm1!C:C)</f>
        <v>Chimborazo</v>
      </c>
      <c r="J250" t="s">
        <v>2021</v>
      </c>
      <c r="K250" s="1" t="s">
        <v>2023</v>
      </c>
    </row>
    <row r="251" spans="1:11" ht="16" x14ac:dyDescent="0.2">
      <c r="A251" t="s">
        <v>495</v>
      </c>
      <c r="B251" t="s">
        <v>496</v>
      </c>
      <c r="C251" t="str">
        <f t="shared" si="16"/>
        <v>San Isidro De Patulú</v>
      </c>
      <c r="D251" t="str">
        <f t="shared" si="15"/>
        <v>San Isidro de Patulú</v>
      </c>
      <c r="E251" t="str">
        <f t="shared" si="17"/>
        <v>EC060756</v>
      </c>
      <c r="F251" t="str">
        <f>_xlfn.XLOOKUP(G251,ecu_admgz_adm2!D:D,ecu_admgz_adm2!C:C)</f>
        <v>Guano</v>
      </c>
      <c r="G251" t="str">
        <f t="shared" si="18"/>
        <v>EC0607</v>
      </c>
      <c r="H251" t="str">
        <f t="shared" si="19"/>
        <v>EC06</v>
      </c>
      <c r="I251" t="str">
        <f>_xlfn.XLOOKUP(H251,eci_admgz_adm1!D:D,eci_admgz_adm1!C:C)</f>
        <v>Chimborazo</v>
      </c>
      <c r="J251" t="s">
        <v>2021</v>
      </c>
      <c r="K251" s="1" t="s">
        <v>2023</v>
      </c>
    </row>
    <row r="252" spans="1:11" ht="16" x14ac:dyDescent="0.2">
      <c r="A252" t="s">
        <v>497</v>
      </c>
      <c r="B252" t="s">
        <v>498</v>
      </c>
      <c r="C252" t="str">
        <f t="shared" si="16"/>
        <v>San José Del Chazo</v>
      </c>
      <c r="D252" t="str">
        <f t="shared" si="15"/>
        <v>San José del Chazo</v>
      </c>
      <c r="E252" t="str">
        <f t="shared" si="17"/>
        <v>EC060757</v>
      </c>
      <c r="F252" t="str">
        <f>_xlfn.XLOOKUP(G252,ecu_admgz_adm2!D:D,ecu_admgz_adm2!C:C)</f>
        <v>Guano</v>
      </c>
      <c r="G252" t="str">
        <f t="shared" si="18"/>
        <v>EC0607</v>
      </c>
      <c r="H252" t="str">
        <f t="shared" si="19"/>
        <v>EC06</v>
      </c>
      <c r="I252" t="str">
        <f>_xlfn.XLOOKUP(H252,eci_admgz_adm1!D:D,eci_admgz_adm1!C:C)</f>
        <v>Chimborazo</v>
      </c>
      <c r="J252" t="s">
        <v>2021</v>
      </c>
      <c r="K252" s="1" t="s">
        <v>2023</v>
      </c>
    </row>
    <row r="253" spans="1:11" ht="16" x14ac:dyDescent="0.2">
      <c r="A253" t="s">
        <v>499</v>
      </c>
      <c r="B253" t="s">
        <v>500</v>
      </c>
      <c r="C253" t="str">
        <f t="shared" si="16"/>
        <v>Santa Fé De Galán</v>
      </c>
      <c r="D253" t="str">
        <f t="shared" si="15"/>
        <v>Santa Fé de Galán</v>
      </c>
      <c r="E253" t="str">
        <f t="shared" si="17"/>
        <v>EC060758</v>
      </c>
      <c r="F253" t="str">
        <f>_xlfn.XLOOKUP(G253,ecu_admgz_adm2!D:D,ecu_admgz_adm2!C:C)</f>
        <v>Guano</v>
      </c>
      <c r="G253" t="str">
        <f t="shared" si="18"/>
        <v>EC0607</v>
      </c>
      <c r="H253" t="str">
        <f t="shared" si="19"/>
        <v>EC06</v>
      </c>
      <c r="I253" t="str">
        <f>_xlfn.XLOOKUP(H253,eci_admgz_adm1!D:D,eci_admgz_adm1!C:C)</f>
        <v>Chimborazo</v>
      </c>
      <c r="J253" t="s">
        <v>2021</v>
      </c>
      <c r="K253" s="1" t="s">
        <v>2023</v>
      </c>
    </row>
    <row r="254" spans="1:11" ht="16" x14ac:dyDescent="0.2">
      <c r="A254" t="s">
        <v>501</v>
      </c>
      <c r="B254" t="s">
        <v>502</v>
      </c>
      <c r="C254" t="str">
        <f t="shared" si="16"/>
        <v>Valparaiso</v>
      </c>
      <c r="D254" t="str">
        <f t="shared" si="15"/>
        <v>Valparaiso</v>
      </c>
      <c r="E254" t="str">
        <f t="shared" si="17"/>
        <v>EC060759</v>
      </c>
      <c r="F254" t="str">
        <f>_xlfn.XLOOKUP(G254,ecu_admgz_adm2!D:D,ecu_admgz_adm2!C:C)</f>
        <v>Guano</v>
      </c>
      <c r="G254" t="str">
        <f t="shared" si="18"/>
        <v>EC0607</v>
      </c>
      <c r="H254" t="str">
        <f t="shared" si="19"/>
        <v>EC06</v>
      </c>
      <c r="I254" t="str">
        <f>_xlfn.XLOOKUP(H254,eci_admgz_adm1!D:D,eci_admgz_adm1!C:C)</f>
        <v>Chimborazo</v>
      </c>
      <c r="J254" t="s">
        <v>2021</v>
      </c>
      <c r="K254" s="1" t="s">
        <v>2023</v>
      </c>
    </row>
    <row r="255" spans="1:11" ht="16" x14ac:dyDescent="0.2">
      <c r="A255" t="s">
        <v>503</v>
      </c>
      <c r="B255" t="s">
        <v>504</v>
      </c>
      <c r="C255" t="str">
        <f t="shared" si="16"/>
        <v>Pallatanga</v>
      </c>
      <c r="D255" t="str">
        <f t="shared" si="15"/>
        <v>Pallatanga</v>
      </c>
      <c r="E255" t="str">
        <f t="shared" si="17"/>
        <v>EC060850</v>
      </c>
      <c r="F255" t="str">
        <f>_xlfn.XLOOKUP(G255,ecu_admgz_adm2!D:D,ecu_admgz_adm2!C:C)</f>
        <v>Pallatanga</v>
      </c>
      <c r="G255" t="str">
        <f t="shared" si="18"/>
        <v>EC0608</v>
      </c>
      <c r="H255" t="str">
        <f t="shared" si="19"/>
        <v>EC06</v>
      </c>
      <c r="I255" t="str">
        <f>_xlfn.XLOOKUP(H255,eci_admgz_adm1!D:D,eci_admgz_adm1!C:C)</f>
        <v>Chimborazo</v>
      </c>
      <c r="J255" t="s">
        <v>2021</v>
      </c>
      <c r="K255" s="1" t="s">
        <v>2023</v>
      </c>
    </row>
    <row r="256" spans="1:11" ht="16" x14ac:dyDescent="0.2">
      <c r="A256" t="s">
        <v>505</v>
      </c>
      <c r="B256" t="s">
        <v>506</v>
      </c>
      <c r="C256" t="str">
        <f t="shared" si="16"/>
        <v>Penipe</v>
      </c>
      <c r="D256" t="str">
        <f t="shared" si="15"/>
        <v>Penipe</v>
      </c>
      <c r="E256" t="str">
        <f t="shared" si="17"/>
        <v>EC060950</v>
      </c>
      <c r="F256" t="str">
        <f>_xlfn.XLOOKUP(G256,ecu_admgz_adm2!D:D,ecu_admgz_adm2!C:C)</f>
        <v>Penipe</v>
      </c>
      <c r="G256" t="str">
        <f t="shared" si="18"/>
        <v>EC0609</v>
      </c>
      <c r="H256" t="str">
        <f t="shared" si="19"/>
        <v>EC06</v>
      </c>
      <c r="I256" t="str">
        <f>_xlfn.XLOOKUP(H256,eci_admgz_adm1!D:D,eci_admgz_adm1!C:C)</f>
        <v>Chimborazo</v>
      </c>
      <c r="J256" t="s">
        <v>2021</v>
      </c>
      <c r="K256" s="1" t="s">
        <v>2023</v>
      </c>
    </row>
    <row r="257" spans="1:11" ht="16" x14ac:dyDescent="0.2">
      <c r="A257" t="s">
        <v>507</v>
      </c>
      <c r="B257" t="s">
        <v>508</v>
      </c>
      <c r="C257" t="str">
        <f t="shared" si="16"/>
        <v>El Altar</v>
      </c>
      <c r="D257" t="str">
        <f t="shared" si="15"/>
        <v>El Altar</v>
      </c>
      <c r="E257" t="str">
        <f t="shared" si="17"/>
        <v>EC060951</v>
      </c>
      <c r="F257" t="str">
        <f>_xlfn.XLOOKUP(G257,ecu_admgz_adm2!D:D,ecu_admgz_adm2!C:C)</f>
        <v>Penipe</v>
      </c>
      <c r="G257" t="str">
        <f t="shared" si="18"/>
        <v>EC0609</v>
      </c>
      <c r="H257" t="str">
        <f t="shared" si="19"/>
        <v>EC06</v>
      </c>
      <c r="I257" t="str">
        <f>_xlfn.XLOOKUP(H257,eci_admgz_adm1!D:D,eci_admgz_adm1!C:C)</f>
        <v>Chimborazo</v>
      </c>
      <c r="J257" t="s">
        <v>2021</v>
      </c>
      <c r="K257" s="1" t="s">
        <v>2023</v>
      </c>
    </row>
    <row r="258" spans="1:11" ht="16" x14ac:dyDescent="0.2">
      <c r="A258" t="s">
        <v>509</v>
      </c>
      <c r="B258" t="s">
        <v>510</v>
      </c>
      <c r="C258" t="str">
        <f t="shared" si="16"/>
        <v>Matus</v>
      </c>
      <c r="D258" t="str">
        <f t="shared" ref="D258:D321" si="20">SUBSTITUTE(SUBSTITUTE(SUBSTITUTE(SUBSTITUTE(SUBSTITUTE(SUBSTITUTE(PROPER($C258)," De "," de ")," La "," la ")," Del "," del ")," Los "," los ")," Y "," y "),"En","en")</f>
        <v>Matus</v>
      </c>
      <c r="E258" t="str">
        <f t="shared" si="17"/>
        <v>EC060952</v>
      </c>
      <c r="F258" t="str">
        <f>_xlfn.XLOOKUP(G258,ecu_admgz_adm2!D:D,ecu_admgz_adm2!C:C)</f>
        <v>Penipe</v>
      </c>
      <c r="G258" t="str">
        <f t="shared" si="18"/>
        <v>EC0609</v>
      </c>
      <c r="H258" t="str">
        <f t="shared" si="19"/>
        <v>EC06</v>
      </c>
      <c r="I258" t="str">
        <f>_xlfn.XLOOKUP(H258,eci_admgz_adm1!D:D,eci_admgz_adm1!C:C)</f>
        <v>Chimborazo</v>
      </c>
      <c r="J258" t="s">
        <v>2021</v>
      </c>
      <c r="K258" s="1" t="s">
        <v>2023</v>
      </c>
    </row>
    <row r="259" spans="1:11" ht="16" x14ac:dyDescent="0.2">
      <c r="A259" t="s">
        <v>511</v>
      </c>
      <c r="B259" t="s">
        <v>512</v>
      </c>
      <c r="C259" t="str">
        <f t="shared" ref="C259:C322" si="21">PROPER(B259)</f>
        <v>Puela</v>
      </c>
      <c r="D259" t="str">
        <f t="shared" si="20"/>
        <v>Puela</v>
      </c>
      <c r="E259" t="str">
        <f t="shared" ref="E259:E322" si="22">"EC"&amp;A259</f>
        <v>EC060953</v>
      </c>
      <c r="F259" t="str">
        <f>_xlfn.XLOOKUP(G259,ecu_admgz_adm2!D:D,ecu_admgz_adm2!C:C)</f>
        <v>Penipe</v>
      </c>
      <c r="G259" t="str">
        <f t="shared" ref="G259:G322" si="23">LEFT(E259,6)</f>
        <v>EC0609</v>
      </c>
      <c r="H259" t="str">
        <f t="shared" ref="H259:H322" si="24">LEFT(G259,4)</f>
        <v>EC06</v>
      </c>
      <c r="I259" t="str">
        <f>_xlfn.XLOOKUP(H259,eci_admgz_adm1!D:D,eci_admgz_adm1!C:C)</f>
        <v>Chimborazo</v>
      </c>
      <c r="J259" t="s">
        <v>2021</v>
      </c>
      <c r="K259" s="1" t="s">
        <v>2023</v>
      </c>
    </row>
    <row r="260" spans="1:11" ht="16" x14ac:dyDescent="0.2">
      <c r="A260" t="s">
        <v>513</v>
      </c>
      <c r="B260" t="s">
        <v>514</v>
      </c>
      <c r="C260" t="str">
        <f t="shared" si="21"/>
        <v>San Antonio De Bayushig</v>
      </c>
      <c r="D260" t="str">
        <f t="shared" si="20"/>
        <v>San Antonio de Bayushig</v>
      </c>
      <c r="E260" t="str">
        <f t="shared" si="22"/>
        <v>EC060954</v>
      </c>
      <c r="F260" t="str">
        <f>_xlfn.XLOOKUP(G260,ecu_admgz_adm2!D:D,ecu_admgz_adm2!C:C)</f>
        <v>Penipe</v>
      </c>
      <c r="G260" t="str">
        <f t="shared" si="23"/>
        <v>EC0609</v>
      </c>
      <c r="H260" t="str">
        <f t="shared" si="24"/>
        <v>EC06</v>
      </c>
      <c r="I260" t="str">
        <f>_xlfn.XLOOKUP(H260,eci_admgz_adm1!D:D,eci_admgz_adm1!C:C)</f>
        <v>Chimborazo</v>
      </c>
      <c r="J260" t="s">
        <v>2021</v>
      </c>
      <c r="K260" s="1" t="s">
        <v>2023</v>
      </c>
    </row>
    <row r="261" spans="1:11" ht="16" x14ac:dyDescent="0.2">
      <c r="A261" t="s">
        <v>515</v>
      </c>
      <c r="B261" t="s">
        <v>516</v>
      </c>
      <c r="C261" t="str">
        <f t="shared" si="21"/>
        <v>La Candelaria</v>
      </c>
      <c r="D261" t="str">
        <f t="shared" si="20"/>
        <v>La Candelaria</v>
      </c>
      <c r="E261" t="str">
        <f t="shared" si="22"/>
        <v>EC060955</v>
      </c>
      <c r="F261" t="str">
        <f>_xlfn.XLOOKUP(G261,ecu_admgz_adm2!D:D,ecu_admgz_adm2!C:C)</f>
        <v>Penipe</v>
      </c>
      <c r="G261" t="str">
        <f t="shared" si="23"/>
        <v>EC0609</v>
      </c>
      <c r="H261" t="str">
        <f t="shared" si="24"/>
        <v>EC06</v>
      </c>
      <c r="I261" t="str">
        <f>_xlfn.XLOOKUP(H261,eci_admgz_adm1!D:D,eci_admgz_adm1!C:C)</f>
        <v>Chimborazo</v>
      </c>
      <c r="J261" t="s">
        <v>2021</v>
      </c>
      <c r="K261" s="1" t="s">
        <v>2023</v>
      </c>
    </row>
    <row r="262" spans="1:11" ht="16" x14ac:dyDescent="0.2">
      <c r="A262" t="s">
        <v>517</v>
      </c>
      <c r="B262" t="s">
        <v>518</v>
      </c>
      <c r="C262" t="str">
        <f t="shared" si="21"/>
        <v>Bilbao</v>
      </c>
      <c r="D262" t="str">
        <f t="shared" si="20"/>
        <v>Bilbao</v>
      </c>
      <c r="E262" t="str">
        <f t="shared" si="22"/>
        <v>EC060956</v>
      </c>
      <c r="F262" t="str">
        <f>_xlfn.XLOOKUP(G262,ecu_admgz_adm2!D:D,ecu_admgz_adm2!C:C)</f>
        <v>Penipe</v>
      </c>
      <c r="G262" t="str">
        <f t="shared" si="23"/>
        <v>EC0609</v>
      </c>
      <c r="H262" t="str">
        <f t="shared" si="24"/>
        <v>EC06</v>
      </c>
      <c r="I262" t="str">
        <f>_xlfn.XLOOKUP(H262,eci_admgz_adm1!D:D,eci_admgz_adm1!C:C)</f>
        <v>Chimborazo</v>
      </c>
      <c r="J262" t="s">
        <v>2021</v>
      </c>
      <c r="K262" s="1" t="s">
        <v>2023</v>
      </c>
    </row>
    <row r="263" spans="1:11" ht="16" x14ac:dyDescent="0.2">
      <c r="A263" t="s">
        <v>519</v>
      </c>
      <c r="B263" t="s">
        <v>520</v>
      </c>
      <c r="C263" t="str">
        <f t="shared" si="21"/>
        <v>Cumandá</v>
      </c>
      <c r="D263" t="str">
        <f t="shared" si="20"/>
        <v>Cumandá</v>
      </c>
      <c r="E263" t="str">
        <f t="shared" si="22"/>
        <v>EC061050</v>
      </c>
      <c r="F263" t="str">
        <f>_xlfn.XLOOKUP(G263,ecu_admgz_adm2!D:D,ecu_admgz_adm2!C:C)</f>
        <v>Cumandá</v>
      </c>
      <c r="G263" t="str">
        <f t="shared" si="23"/>
        <v>EC0610</v>
      </c>
      <c r="H263" t="str">
        <f t="shared" si="24"/>
        <v>EC06</v>
      </c>
      <c r="I263" t="str">
        <f>_xlfn.XLOOKUP(H263,eci_admgz_adm1!D:D,eci_admgz_adm1!C:C)</f>
        <v>Chimborazo</v>
      </c>
      <c r="J263" t="s">
        <v>2021</v>
      </c>
      <c r="K263" s="1" t="s">
        <v>2023</v>
      </c>
    </row>
    <row r="264" spans="1:11" ht="16" x14ac:dyDescent="0.2">
      <c r="A264" t="s">
        <v>521</v>
      </c>
      <c r="B264" t="s">
        <v>522</v>
      </c>
      <c r="C264" t="str">
        <f t="shared" si="21"/>
        <v>Machala</v>
      </c>
      <c r="D264" t="str">
        <f t="shared" si="20"/>
        <v>Machala</v>
      </c>
      <c r="E264" t="str">
        <f t="shared" si="22"/>
        <v>EC070150</v>
      </c>
      <c r="F264" t="str">
        <f>_xlfn.XLOOKUP(G264,ecu_admgz_adm2!D:D,ecu_admgz_adm2!C:C)</f>
        <v>Machala</v>
      </c>
      <c r="G264" t="str">
        <f t="shared" si="23"/>
        <v>EC0701</v>
      </c>
      <c r="H264" t="str">
        <f t="shared" si="24"/>
        <v>EC07</v>
      </c>
      <c r="I264" t="str">
        <f>_xlfn.XLOOKUP(H264,eci_admgz_adm1!D:D,eci_admgz_adm1!C:C)</f>
        <v>El Oro</v>
      </c>
      <c r="J264" t="s">
        <v>2021</v>
      </c>
      <c r="K264" s="1" t="s">
        <v>2023</v>
      </c>
    </row>
    <row r="265" spans="1:11" ht="16" x14ac:dyDescent="0.2">
      <c r="A265" t="s">
        <v>523</v>
      </c>
      <c r="B265" t="s">
        <v>524</v>
      </c>
      <c r="C265" t="str">
        <f t="shared" si="21"/>
        <v>El Retiro</v>
      </c>
      <c r="D265" t="str">
        <f t="shared" si="20"/>
        <v>El Retiro</v>
      </c>
      <c r="E265" t="str">
        <f t="shared" si="22"/>
        <v>EC070152</v>
      </c>
      <c r="F265" t="str">
        <f>_xlfn.XLOOKUP(G265,ecu_admgz_adm2!D:D,ecu_admgz_adm2!C:C)</f>
        <v>Machala</v>
      </c>
      <c r="G265" t="str">
        <f t="shared" si="23"/>
        <v>EC0701</v>
      </c>
      <c r="H265" t="str">
        <f t="shared" si="24"/>
        <v>EC07</v>
      </c>
      <c r="I265" t="str">
        <f>_xlfn.XLOOKUP(H265,eci_admgz_adm1!D:D,eci_admgz_adm1!C:C)</f>
        <v>El Oro</v>
      </c>
      <c r="J265" t="s">
        <v>2021</v>
      </c>
      <c r="K265" s="1" t="s">
        <v>2023</v>
      </c>
    </row>
    <row r="266" spans="1:11" ht="16" x14ac:dyDescent="0.2">
      <c r="A266" t="s">
        <v>525</v>
      </c>
      <c r="B266" t="s">
        <v>526</v>
      </c>
      <c r="C266" t="str">
        <f t="shared" si="21"/>
        <v>Arenillas</v>
      </c>
      <c r="D266" t="str">
        <f t="shared" si="20"/>
        <v>Arenillas</v>
      </c>
      <c r="E266" t="str">
        <f t="shared" si="22"/>
        <v>EC070250</v>
      </c>
      <c r="F266" t="str">
        <f>_xlfn.XLOOKUP(G266,ecu_admgz_adm2!D:D,ecu_admgz_adm2!C:C)</f>
        <v>Arenillas</v>
      </c>
      <c r="G266" t="str">
        <f t="shared" si="23"/>
        <v>EC0702</v>
      </c>
      <c r="H266" t="str">
        <f t="shared" si="24"/>
        <v>EC07</v>
      </c>
      <c r="I266" t="str">
        <f>_xlfn.XLOOKUP(H266,eci_admgz_adm1!D:D,eci_admgz_adm1!C:C)</f>
        <v>El Oro</v>
      </c>
      <c r="J266" t="s">
        <v>2021</v>
      </c>
      <c r="K266" s="1" t="s">
        <v>2023</v>
      </c>
    </row>
    <row r="267" spans="1:11" ht="16" x14ac:dyDescent="0.2">
      <c r="A267" t="s">
        <v>527</v>
      </c>
      <c r="B267" t="s">
        <v>528</v>
      </c>
      <c r="C267" t="str">
        <f t="shared" si="21"/>
        <v>Chacras</v>
      </c>
      <c r="D267" t="str">
        <f t="shared" si="20"/>
        <v>Chacras</v>
      </c>
      <c r="E267" t="str">
        <f t="shared" si="22"/>
        <v>EC070251</v>
      </c>
      <c r="F267" t="str">
        <f>_xlfn.XLOOKUP(G267,ecu_admgz_adm2!D:D,ecu_admgz_adm2!C:C)</f>
        <v>Arenillas</v>
      </c>
      <c r="G267" t="str">
        <f t="shared" si="23"/>
        <v>EC0702</v>
      </c>
      <c r="H267" t="str">
        <f t="shared" si="24"/>
        <v>EC07</v>
      </c>
      <c r="I267" t="str">
        <f>_xlfn.XLOOKUP(H267,eci_admgz_adm1!D:D,eci_admgz_adm1!C:C)</f>
        <v>El Oro</v>
      </c>
      <c r="J267" t="s">
        <v>2021</v>
      </c>
      <c r="K267" s="1" t="s">
        <v>2023</v>
      </c>
    </row>
    <row r="268" spans="1:11" ht="16" x14ac:dyDescent="0.2">
      <c r="A268" t="s">
        <v>529</v>
      </c>
      <c r="B268" t="s">
        <v>530</v>
      </c>
      <c r="C268" t="str">
        <f t="shared" si="21"/>
        <v>Palmales</v>
      </c>
      <c r="D268" t="str">
        <f t="shared" si="20"/>
        <v>Palmales</v>
      </c>
      <c r="E268" t="str">
        <f t="shared" si="22"/>
        <v>EC070254</v>
      </c>
      <c r="F268" t="str">
        <f>_xlfn.XLOOKUP(G268,ecu_admgz_adm2!D:D,ecu_admgz_adm2!C:C)</f>
        <v>Arenillas</v>
      </c>
      <c r="G268" t="str">
        <f t="shared" si="23"/>
        <v>EC0702</v>
      </c>
      <c r="H268" t="str">
        <f t="shared" si="24"/>
        <v>EC07</v>
      </c>
      <c r="I268" t="str">
        <f>_xlfn.XLOOKUP(H268,eci_admgz_adm1!D:D,eci_admgz_adm1!C:C)</f>
        <v>El Oro</v>
      </c>
      <c r="J268" t="s">
        <v>2021</v>
      </c>
      <c r="K268" s="1" t="s">
        <v>2023</v>
      </c>
    </row>
    <row r="269" spans="1:11" ht="16" x14ac:dyDescent="0.2">
      <c r="A269" t="s">
        <v>531</v>
      </c>
      <c r="B269" t="s">
        <v>532</v>
      </c>
      <c r="C269" t="str">
        <f t="shared" si="21"/>
        <v>Carcabón</v>
      </c>
      <c r="D269" t="str">
        <f t="shared" si="20"/>
        <v>Carcabón</v>
      </c>
      <c r="E269" t="str">
        <f t="shared" si="22"/>
        <v>EC070255</v>
      </c>
      <c r="F269" t="str">
        <f>_xlfn.XLOOKUP(G269,ecu_admgz_adm2!D:D,ecu_admgz_adm2!C:C)</f>
        <v>Arenillas</v>
      </c>
      <c r="G269" t="str">
        <f t="shared" si="23"/>
        <v>EC0702</v>
      </c>
      <c r="H269" t="str">
        <f t="shared" si="24"/>
        <v>EC07</v>
      </c>
      <c r="I269" t="str">
        <f>_xlfn.XLOOKUP(H269,eci_admgz_adm1!D:D,eci_admgz_adm1!C:C)</f>
        <v>El Oro</v>
      </c>
      <c r="J269" t="s">
        <v>2021</v>
      </c>
      <c r="K269" s="1" t="s">
        <v>2023</v>
      </c>
    </row>
    <row r="270" spans="1:11" ht="16" x14ac:dyDescent="0.2">
      <c r="A270" t="s">
        <v>533</v>
      </c>
      <c r="B270" t="s">
        <v>534</v>
      </c>
      <c r="C270" t="str">
        <f t="shared" si="21"/>
        <v>La Cuca</v>
      </c>
      <c r="D270" t="str">
        <f t="shared" si="20"/>
        <v>La Cuca</v>
      </c>
      <c r="E270" t="str">
        <f t="shared" si="22"/>
        <v>EC070256</v>
      </c>
      <c r="F270" t="str">
        <f>_xlfn.XLOOKUP(G270,ecu_admgz_adm2!D:D,ecu_admgz_adm2!C:C)</f>
        <v>Arenillas</v>
      </c>
      <c r="G270" t="str">
        <f t="shared" si="23"/>
        <v>EC0702</v>
      </c>
      <c r="H270" t="str">
        <f t="shared" si="24"/>
        <v>EC07</v>
      </c>
      <c r="I270" t="str">
        <f>_xlfn.XLOOKUP(H270,eci_admgz_adm1!D:D,eci_admgz_adm1!C:C)</f>
        <v>El Oro</v>
      </c>
      <c r="J270" t="s">
        <v>2021</v>
      </c>
      <c r="K270" s="1" t="s">
        <v>2023</v>
      </c>
    </row>
    <row r="271" spans="1:11" ht="16" x14ac:dyDescent="0.2">
      <c r="A271" t="s">
        <v>535</v>
      </c>
      <c r="B271" t="s">
        <v>23</v>
      </c>
      <c r="C271" t="str">
        <f t="shared" si="21"/>
        <v>Paccha</v>
      </c>
      <c r="D271" t="str">
        <f t="shared" si="20"/>
        <v>Paccha</v>
      </c>
      <c r="E271" t="str">
        <f t="shared" si="22"/>
        <v>EC070350</v>
      </c>
      <c r="F271" t="str">
        <f>_xlfn.XLOOKUP(G271,ecu_admgz_adm2!D:D,ecu_admgz_adm2!C:C)</f>
        <v>Atahualpa</v>
      </c>
      <c r="G271" t="str">
        <f t="shared" si="23"/>
        <v>EC0703</v>
      </c>
      <c r="H271" t="str">
        <f t="shared" si="24"/>
        <v>EC07</v>
      </c>
      <c r="I271" t="str">
        <f>_xlfn.XLOOKUP(H271,eci_admgz_adm1!D:D,eci_admgz_adm1!C:C)</f>
        <v>El Oro</v>
      </c>
      <c r="J271" t="s">
        <v>2021</v>
      </c>
      <c r="K271" s="1" t="s">
        <v>2023</v>
      </c>
    </row>
    <row r="272" spans="1:11" ht="16" x14ac:dyDescent="0.2">
      <c r="A272" t="s">
        <v>537</v>
      </c>
      <c r="B272" t="s">
        <v>538</v>
      </c>
      <c r="C272" t="str">
        <f t="shared" si="21"/>
        <v>Ayapamba</v>
      </c>
      <c r="D272" t="str">
        <f t="shared" si="20"/>
        <v>Ayapamba</v>
      </c>
      <c r="E272" t="str">
        <f t="shared" si="22"/>
        <v>EC070351</v>
      </c>
      <c r="F272" t="str">
        <f>_xlfn.XLOOKUP(G272,ecu_admgz_adm2!D:D,ecu_admgz_adm2!C:C)</f>
        <v>Atahualpa</v>
      </c>
      <c r="G272" t="str">
        <f t="shared" si="23"/>
        <v>EC0703</v>
      </c>
      <c r="H272" t="str">
        <f t="shared" si="24"/>
        <v>EC07</v>
      </c>
      <c r="I272" t="str">
        <f>_xlfn.XLOOKUP(H272,eci_admgz_adm1!D:D,eci_admgz_adm1!C:C)</f>
        <v>El Oro</v>
      </c>
      <c r="J272" t="s">
        <v>2021</v>
      </c>
      <c r="K272" s="1" t="s">
        <v>2023</v>
      </c>
    </row>
    <row r="273" spans="1:11" ht="16" x14ac:dyDescent="0.2">
      <c r="A273" t="s">
        <v>539</v>
      </c>
      <c r="B273" t="s">
        <v>540</v>
      </c>
      <c r="C273" t="str">
        <f t="shared" si="21"/>
        <v>Cordoncillo</v>
      </c>
      <c r="D273" t="str">
        <f t="shared" si="20"/>
        <v>Cordoncillo</v>
      </c>
      <c r="E273" t="str">
        <f t="shared" si="22"/>
        <v>EC070352</v>
      </c>
      <c r="F273" t="str">
        <f>_xlfn.XLOOKUP(G273,ecu_admgz_adm2!D:D,ecu_admgz_adm2!C:C)</f>
        <v>Atahualpa</v>
      </c>
      <c r="G273" t="str">
        <f t="shared" si="23"/>
        <v>EC0703</v>
      </c>
      <c r="H273" t="str">
        <f t="shared" si="24"/>
        <v>EC07</v>
      </c>
      <c r="I273" t="str">
        <f>_xlfn.XLOOKUP(H273,eci_admgz_adm1!D:D,eci_admgz_adm1!C:C)</f>
        <v>El Oro</v>
      </c>
      <c r="J273" t="s">
        <v>2021</v>
      </c>
      <c r="K273" s="1" t="s">
        <v>2023</v>
      </c>
    </row>
    <row r="274" spans="1:11" ht="16" x14ac:dyDescent="0.2">
      <c r="A274" t="s">
        <v>541</v>
      </c>
      <c r="B274" t="s">
        <v>542</v>
      </c>
      <c r="C274" t="str">
        <f t="shared" si="21"/>
        <v>Milagro</v>
      </c>
      <c r="D274" t="str">
        <f t="shared" si="20"/>
        <v>Milagro</v>
      </c>
      <c r="E274" t="str">
        <f t="shared" si="22"/>
        <v>EC070353</v>
      </c>
      <c r="F274" t="str">
        <f>_xlfn.XLOOKUP(G274,ecu_admgz_adm2!D:D,ecu_admgz_adm2!C:C)</f>
        <v>Atahualpa</v>
      </c>
      <c r="G274" t="str">
        <f t="shared" si="23"/>
        <v>EC0703</v>
      </c>
      <c r="H274" t="str">
        <f t="shared" si="24"/>
        <v>EC07</v>
      </c>
      <c r="I274" t="str">
        <f>_xlfn.XLOOKUP(H274,eci_admgz_adm1!D:D,eci_admgz_adm1!C:C)</f>
        <v>El Oro</v>
      </c>
      <c r="J274" t="s">
        <v>2021</v>
      </c>
      <c r="K274" s="1" t="s">
        <v>2023</v>
      </c>
    </row>
    <row r="275" spans="1:11" ht="16" x14ac:dyDescent="0.2">
      <c r="A275" t="s">
        <v>543</v>
      </c>
      <c r="B275" t="s">
        <v>544</v>
      </c>
      <c r="C275" t="str">
        <f t="shared" si="21"/>
        <v>San José</v>
      </c>
      <c r="D275" t="str">
        <f t="shared" si="20"/>
        <v>San José</v>
      </c>
      <c r="E275" t="str">
        <f t="shared" si="22"/>
        <v>EC070354</v>
      </c>
      <c r="F275" t="str">
        <f>_xlfn.XLOOKUP(G275,ecu_admgz_adm2!D:D,ecu_admgz_adm2!C:C)</f>
        <v>Atahualpa</v>
      </c>
      <c r="G275" t="str">
        <f t="shared" si="23"/>
        <v>EC0703</v>
      </c>
      <c r="H275" t="str">
        <f t="shared" si="24"/>
        <v>EC07</v>
      </c>
      <c r="I275" t="str">
        <f>_xlfn.XLOOKUP(H275,eci_admgz_adm1!D:D,eci_admgz_adm1!C:C)</f>
        <v>El Oro</v>
      </c>
      <c r="J275" t="s">
        <v>2021</v>
      </c>
      <c r="K275" s="1" t="s">
        <v>2023</v>
      </c>
    </row>
    <row r="276" spans="1:11" ht="16" x14ac:dyDescent="0.2">
      <c r="A276" t="s">
        <v>545</v>
      </c>
      <c r="B276" t="s">
        <v>546</v>
      </c>
      <c r="C276" t="str">
        <f t="shared" si="21"/>
        <v>San Juan De Cerro Azul</v>
      </c>
      <c r="D276" t="str">
        <f t="shared" si="20"/>
        <v>San Juan de Cerro Azul</v>
      </c>
      <c r="E276" t="str">
        <f t="shared" si="22"/>
        <v>EC070355</v>
      </c>
      <c r="F276" t="str">
        <f>_xlfn.XLOOKUP(G276,ecu_admgz_adm2!D:D,ecu_admgz_adm2!C:C)</f>
        <v>Atahualpa</v>
      </c>
      <c r="G276" t="str">
        <f t="shared" si="23"/>
        <v>EC0703</v>
      </c>
      <c r="H276" t="str">
        <f t="shared" si="24"/>
        <v>EC07</v>
      </c>
      <c r="I276" t="str">
        <f>_xlfn.XLOOKUP(H276,eci_admgz_adm1!D:D,eci_admgz_adm1!C:C)</f>
        <v>El Oro</v>
      </c>
      <c r="J276" t="s">
        <v>2021</v>
      </c>
      <c r="K276" s="1" t="s">
        <v>2023</v>
      </c>
    </row>
    <row r="277" spans="1:11" ht="16" x14ac:dyDescent="0.2">
      <c r="A277" t="s">
        <v>547</v>
      </c>
      <c r="B277" t="s">
        <v>548</v>
      </c>
      <c r="C277" t="str">
        <f t="shared" si="21"/>
        <v>Balsas</v>
      </c>
      <c r="D277" t="str">
        <f t="shared" si="20"/>
        <v>Balsas</v>
      </c>
      <c r="E277" t="str">
        <f t="shared" si="22"/>
        <v>EC070450</v>
      </c>
      <c r="F277" t="str">
        <f>_xlfn.XLOOKUP(G277,ecu_admgz_adm2!D:D,ecu_admgz_adm2!C:C)</f>
        <v>Balsas</v>
      </c>
      <c r="G277" t="str">
        <f t="shared" si="23"/>
        <v>EC0704</v>
      </c>
      <c r="H277" t="str">
        <f t="shared" si="24"/>
        <v>EC07</v>
      </c>
      <c r="I277" t="str">
        <f>_xlfn.XLOOKUP(H277,eci_admgz_adm1!D:D,eci_admgz_adm1!C:C)</f>
        <v>El Oro</v>
      </c>
      <c r="J277" t="s">
        <v>2021</v>
      </c>
      <c r="K277" s="1" t="s">
        <v>2023</v>
      </c>
    </row>
    <row r="278" spans="1:11" ht="16" x14ac:dyDescent="0.2">
      <c r="A278" t="s">
        <v>549</v>
      </c>
      <c r="B278" t="s">
        <v>550</v>
      </c>
      <c r="C278" t="str">
        <f t="shared" si="21"/>
        <v>Bellamaría</v>
      </c>
      <c r="D278" t="str">
        <f t="shared" si="20"/>
        <v>Bellamaría</v>
      </c>
      <c r="E278" t="str">
        <f t="shared" si="22"/>
        <v>EC070451</v>
      </c>
      <c r="F278" t="str">
        <f>_xlfn.XLOOKUP(G278,ecu_admgz_adm2!D:D,ecu_admgz_adm2!C:C)</f>
        <v>Balsas</v>
      </c>
      <c r="G278" t="str">
        <f t="shared" si="23"/>
        <v>EC0704</v>
      </c>
      <c r="H278" t="str">
        <f t="shared" si="24"/>
        <v>EC07</v>
      </c>
      <c r="I278" t="str">
        <f>_xlfn.XLOOKUP(H278,eci_admgz_adm1!D:D,eci_admgz_adm1!C:C)</f>
        <v>El Oro</v>
      </c>
      <c r="J278" t="s">
        <v>2021</v>
      </c>
      <c r="K278" s="1" t="s">
        <v>2023</v>
      </c>
    </row>
    <row r="279" spans="1:11" ht="16" x14ac:dyDescent="0.2">
      <c r="A279" t="s">
        <v>551</v>
      </c>
      <c r="B279" t="s">
        <v>552</v>
      </c>
      <c r="C279" t="str">
        <f t="shared" si="21"/>
        <v>Chilla</v>
      </c>
      <c r="D279" t="str">
        <f t="shared" si="20"/>
        <v>Chilla</v>
      </c>
      <c r="E279" t="str">
        <f t="shared" si="22"/>
        <v>EC070550</v>
      </c>
      <c r="F279" t="str">
        <f>_xlfn.XLOOKUP(G279,ecu_admgz_adm2!D:D,ecu_admgz_adm2!C:C)</f>
        <v>Chilla</v>
      </c>
      <c r="G279" t="str">
        <f t="shared" si="23"/>
        <v>EC0705</v>
      </c>
      <c r="H279" t="str">
        <f t="shared" si="24"/>
        <v>EC07</v>
      </c>
      <c r="I279" t="str">
        <f>_xlfn.XLOOKUP(H279,eci_admgz_adm1!D:D,eci_admgz_adm1!C:C)</f>
        <v>El Oro</v>
      </c>
      <c r="J279" t="s">
        <v>2021</v>
      </c>
      <c r="K279" s="1" t="s">
        <v>2023</v>
      </c>
    </row>
    <row r="280" spans="1:11" ht="16" x14ac:dyDescent="0.2">
      <c r="A280" t="s">
        <v>553</v>
      </c>
      <c r="B280" t="s">
        <v>554</v>
      </c>
      <c r="C280" t="str">
        <f t="shared" si="21"/>
        <v>El Guabo</v>
      </c>
      <c r="D280" t="str">
        <f t="shared" si="20"/>
        <v>El Guabo</v>
      </c>
      <c r="E280" t="str">
        <f t="shared" si="22"/>
        <v>EC070650</v>
      </c>
      <c r="F280" t="str">
        <f>_xlfn.XLOOKUP(G280,ecu_admgz_adm2!D:D,ecu_admgz_adm2!C:C)</f>
        <v>El Guabo</v>
      </c>
      <c r="G280" t="str">
        <f t="shared" si="23"/>
        <v>EC0706</v>
      </c>
      <c r="H280" t="str">
        <f t="shared" si="24"/>
        <v>EC07</v>
      </c>
      <c r="I280" t="str">
        <f>_xlfn.XLOOKUP(H280,eci_admgz_adm1!D:D,eci_admgz_adm1!C:C)</f>
        <v>El Oro</v>
      </c>
      <c r="J280" t="s">
        <v>2021</v>
      </c>
      <c r="K280" s="1" t="s">
        <v>2023</v>
      </c>
    </row>
    <row r="281" spans="1:11" ht="16" x14ac:dyDescent="0.2">
      <c r="A281" t="s">
        <v>555</v>
      </c>
      <c r="B281" t="s">
        <v>556</v>
      </c>
      <c r="C281" t="str">
        <f t="shared" si="21"/>
        <v>Barbones</v>
      </c>
      <c r="D281" t="str">
        <f t="shared" si="20"/>
        <v>Barbones</v>
      </c>
      <c r="E281" t="str">
        <f t="shared" si="22"/>
        <v>EC070651</v>
      </c>
      <c r="F281" t="str">
        <f>_xlfn.XLOOKUP(G281,ecu_admgz_adm2!D:D,ecu_admgz_adm2!C:C)</f>
        <v>El Guabo</v>
      </c>
      <c r="G281" t="str">
        <f t="shared" si="23"/>
        <v>EC0706</v>
      </c>
      <c r="H281" t="str">
        <f t="shared" si="24"/>
        <v>EC07</v>
      </c>
      <c r="I281" t="str">
        <f>_xlfn.XLOOKUP(H281,eci_admgz_adm1!D:D,eci_admgz_adm1!C:C)</f>
        <v>El Oro</v>
      </c>
      <c r="J281" t="s">
        <v>2021</v>
      </c>
      <c r="K281" s="1" t="s">
        <v>2023</v>
      </c>
    </row>
    <row r="282" spans="1:11" ht="16" x14ac:dyDescent="0.2">
      <c r="A282" t="s">
        <v>557</v>
      </c>
      <c r="B282" t="s">
        <v>558</v>
      </c>
      <c r="C282" t="str">
        <f t="shared" si="21"/>
        <v>La Iberia</v>
      </c>
      <c r="D282" t="str">
        <f t="shared" si="20"/>
        <v>La Iberia</v>
      </c>
      <c r="E282" t="str">
        <f t="shared" si="22"/>
        <v>EC070652</v>
      </c>
      <c r="F282" t="str">
        <f>_xlfn.XLOOKUP(G282,ecu_admgz_adm2!D:D,ecu_admgz_adm2!C:C)</f>
        <v>El Guabo</v>
      </c>
      <c r="G282" t="str">
        <f t="shared" si="23"/>
        <v>EC0706</v>
      </c>
      <c r="H282" t="str">
        <f t="shared" si="24"/>
        <v>EC07</v>
      </c>
      <c r="I282" t="str">
        <f>_xlfn.XLOOKUP(H282,eci_admgz_adm1!D:D,eci_admgz_adm1!C:C)</f>
        <v>El Oro</v>
      </c>
      <c r="J282" t="s">
        <v>2021</v>
      </c>
      <c r="K282" s="1" t="s">
        <v>2023</v>
      </c>
    </row>
    <row r="283" spans="1:11" ht="16" x14ac:dyDescent="0.2">
      <c r="A283" t="s">
        <v>559</v>
      </c>
      <c r="B283" t="s">
        <v>560</v>
      </c>
      <c r="C283" t="str">
        <f t="shared" si="21"/>
        <v>Tendales</v>
      </c>
      <c r="D283" t="str">
        <f t="shared" si="20"/>
        <v>Tendales</v>
      </c>
      <c r="E283" t="str">
        <f t="shared" si="22"/>
        <v>EC070653</v>
      </c>
      <c r="F283" t="str">
        <f>_xlfn.XLOOKUP(G283,ecu_admgz_adm2!D:D,ecu_admgz_adm2!C:C)</f>
        <v>El Guabo</v>
      </c>
      <c r="G283" t="str">
        <f t="shared" si="23"/>
        <v>EC0706</v>
      </c>
      <c r="H283" t="str">
        <f t="shared" si="24"/>
        <v>EC07</v>
      </c>
      <c r="I283" t="str">
        <f>_xlfn.XLOOKUP(H283,eci_admgz_adm1!D:D,eci_admgz_adm1!C:C)</f>
        <v>El Oro</v>
      </c>
      <c r="J283" t="s">
        <v>2021</v>
      </c>
      <c r="K283" s="1" t="s">
        <v>2023</v>
      </c>
    </row>
    <row r="284" spans="1:11" ht="16" x14ac:dyDescent="0.2">
      <c r="A284" t="s">
        <v>561</v>
      </c>
      <c r="B284" t="s">
        <v>562</v>
      </c>
      <c r="C284" t="str">
        <f t="shared" si="21"/>
        <v>Río Bonito</v>
      </c>
      <c r="D284" t="str">
        <f t="shared" si="20"/>
        <v>Río Bonito</v>
      </c>
      <c r="E284" t="str">
        <f t="shared" si="22"/>
        <v>EC070654</v>
      </c>
      <c r="F284" t="str">
        <f>_xlfn.XLOOKUP(G284,ecu_admgz_adm2!D:D,ecu_admgz_adm2!C:C)</f>
        <v>El Guabo</v>
      </c>
      <c r="G284" t="str">
        <f t="shared" si="23"/>
        <v>EC0706</v>
      </c>
      <c r="H284" t="str">
        <f t="shared" si="24"/>
        <v>EC07</v>
      </c>
      <c r="I284" t="str">
        <f>_xlfn.XLOOKUP(H284,eci_admgz_adm1!D:D,eci_admgz_adm1!C:C)</f>
        <v>El Oro</v>
      </c>
      <c r="J284" t="s">
        <v>2021</v>
      </c>
      <c r="K284" s="1" t="s">
        <v>2023</v>
      </c>
    </row>
    <row r="285" spans="1:11" ht="16" x14ac:dyDescent="0.2">
      <c r="A285" t="s">
        <v>563</v>
      </c>
      <c r="B285" t="s">
        <v>564</v>
      </c>
      <c r="C285" t="str">
        <f t="shared" si="21"/>
        <v>Huaquillas</v>
      </c>
      <c r="D285" t="str">
        <f t="shared" si="20"/>
        <v>Huaquillas</v>
      </c>
      <c r="E285" t="str">
        <f t="shared" si="22"/>
        <v>EC070750</v>
      </c>
      <c r="F285" t="str">
        <f>_xlfn.XLOOKUP(G285,ecu_admgz_adm2!D:D,ecu_admgz_adm2!C:C)</f>
        <v>Huaquillas</v>
      </c>
      <c r="G285" t="str">
        <f t="shared" si="23"/>
        <v>EC0707</v>
      </c>
      <c r="H285" t="str">
        <f t="shared" si="24"/>
        <v>EC07</v>
      </c>
      <c r="I285" t="str">
        <f>_xlfn.XLOOKUP(H285,eci_admgz_adm1!D:D,eci_admgz_adm1!C:C)</f>
        <v>El Oro</v>
      </c>
      <c r="J285" t="s">
        <v>2021</v>
      </c>
      <c r="K285" s="1" t="s">
        <v>2023</v>
      </c>
    </row>
    <row r="286" spans="1:11" ht="16" x14ac:dyDescent="0.2">
      <c r="A286" t="s">
        <v>565</v>
      </c>
      <c r="B286" t="s">
        <v>566</v>
      </c>
      <c r="C286" t="str">
        <f t="shared" si="21"/>
        <v>Marcabelí</v>
      </c>
      <c r="D286" t="str">
        <f t="shared" si="20"/>
        <v>Marcabelí</v>
      </c>
      <c r="E286" t="str">
        <f t="shared" si="22"/>
        <v>EC070850</v>
      </c>
      <c r="F286" t="str">
        <f>_xlfn.XLOOKUP(G286,ecu_admgz_adm2!D:D,ecu_admgz_adm2!C:C)</f>
        <v>Marcabelí</v>
      </c>
      <c r="G286" t="str">
        <f t="shared" si="23"/>
        <v>EC0708</v>
      </c>
      <c r="H286" t="str">
        <f t="shared" si="24"/>
        <v>EC07</v>
      </c>
      <c r="I286" t="str">
        <f>_xlfn.XLOOKUP(H286,eci_admgz_adm1!D:D,eci_admgz_adm1!C:C)</f>
        <v>El Oro</v>
      </c>
      <c r="J286" t="s">
        <v>2021</v>
      </c>
      <c r="K286" s="1" t="s">
        <v>2023</v>
      </c>
    </row>
    <row r="287" spans="1:11" ht="16" x14ac:dyDescent="0.2">
      <c r="A287" t="s">
        <v>567</v>
      </c>
      <c r="B287" t="s">
        <v>568</v>
      </c>
      <c r="C287" t="str">
        <f t="shared" si="21"/>
        <v>El Ingenio</v>
      </c>
      <c r="D287" t="str">
        <f t="shared" si="20"/>
        <v>El Ingenio</v>
      </c>
      <c r="E287" t="str">
        <f t="shared" si="22"/>
        <v>EC070851</v>
      </c>
      <c r="F287" t="str">
        <f>_xlfn.XLOOKUP(G287,ecu_admgz_adm2!D:D,ecu_admgz_adm2!C:C)</f>
        <v>Marcabelí</v>
      </c>
      <c r="G287" t="str">
        <f t="shared" si="23"/>
        <v>EC0708</v>
      </c>
      <c r="H287" t="str">
        <f t="shared" si="24"/>
        <v>EC07</v>
      </c>
      <c r="I287" t="str">
        <f>_xlfn.XLOOKUP(H287,eci_admgz_adm1!D:D,eci_admgz_adm1!C:C)</f>
        <v>El Oro</v>
      </c>
      <c r="J287" t="s">
        <v>2021</v>
      </c>
      <c r="K287" s="1" t="s">
        <v>2023</v>
      </c>
    </row>
    <row r="288" spans="1:11" ht="16" x14ac:dyDescent="0.2">
      <c r="A288" t="s">
        <v>569</v>
      </c>
      <c r="B288" t="s">
        <v>570</v>
      </c>
      <c r="C288" t="str">
        <f t="shared" si="21"/>
        <v>Pasaje</v>
      </c>
      <c r="D288" t="str">
        <f t="shared" si="20"/>
        <v>Pasaje</v>
      </c>
      <c r="E288" t="str">
        <f t="shared" si="22"/>
        <v>EC070950</v>
      </c>
      <c r="F288" t="str">
        <f>_xlfn.XLOOKUP(G288,ecu_admgz_adm2!D:D,ecu_admgz_adm2!C:C)</f>
        <v>Pasaje</v>
      </c>
      <c r="G288" t="str">
        <f t="shared" si="23"/>
        <v>EC0709</v>
      </c>
      <c r="H288" t="str">
        <f t="shared" si="24"/>
        <v>EC07</v>
      </c>
      <c r="I288" t="str">
        <f>_xlfn.XLOOKUP(H288,eci_admgz_adm1!D:D,eci_admgz_adm1!C:C)</f>
        <v>El Oro</v>
      </c>
      <c r="J288" t="s">
        <v>2021</v>
      </c>
      <c r="K288" s="1" t="s">
        <v>2023</v>
      </c>
    </row>
    <row r="289" spans="1:11" ht="16" x14ac:dyDescent="0.2">
      <c r="A289" t="s">
        <v>571</v>
      </c>
      <c r="B289" t="s">
        <v>572</v>
      </c>
      <c r="C289" t="str">
        <f t="shared" si="21"/>
        <v>Buenavista</v>
      </c>
      <c r="D289" t="str">
        <f t="shared" si="20"/>
        <v>Buenavista</v>
      </c>
      <c r="E289" t="str">
        <f t="shared" si="22"/>
        <v>EC070951</v>
      </c>
      <c r="F289" t="str">
        <f>_xlfn.XLOOKUP(G289,ecu_admgz_adm2!D:D,ecu_admgz_adm2!C:C)</f>
        <v>Pasaje</v>
      </c>
      <c r="G289" t="str">
        <f t="shared" si="23"/>
        <v>EC0709</v>
      </c>
      <c r="H289" t="str">
        <f t="shared" si="24"/>
        <v>EC07</v>
      </c>
      <c r="I289" t="str">
        <f>_xlfn.XLOOKUP(H289,eci_admgz_adm1!D:D,eci_admgz_adm1!C:C)</f>
        <v>El Oro</v>
      </c>
      <c r="J289" t="s">
        <v>2021</v>
      </c>
      <c r="K289" s="1" t="s">
        <v>2023</v>
      </c>
    </row>
    <row r="290" spans="1:11" ht="16" x14ac:dyDescent="0.2">
      <c r="A290" t="s">
        <v>573</v>
      </c>
      <c r="B290" t="s">
        <v>574</v>
      </c>
      <c r="C290" t="str">
        <f t="shared" si="21"/>
        <v>Casacay</v>
      </c>
      <c r="D290" t="str">
        <f t="shared" si="20"/>
        <v>Casacay</v>
      </c>
      <c r="E290" t="str">
        <f t="shared" si="22"/>
        <v>EC070952</v>
      </c>
      <c r="F290" t="str">
        <f>_xlfn.XLOOKUP(G290,ecu_admgz_adm2!D:D,ecu_admgz_adm2!C:C)</f>
        <v>Pasaje</v>
      </c>
      <c r="G290" t="str">
        <f t="shared" si="23"/>
        <v>EC0709</v>
      </c>
      <c r="H290" t="str">
        <f t="shared" si="24"/>
        <v>EC07</v>
      </c>
      <c r="I290" t="str">
        <f>_xlfn.XLOOKUP(H290,eci_admgz_adm1!D:D,eci_admgz_adm1!C:C)</f>
        <v>El Oro</v>
      </c>
      <c r="J290" t="s">
        <v>2021</v>
      </c>
      <c r="K290" s="1" t="s">
        <v>2023</v>
      </c>
    </row>
    <row r="291" spans="1:11" ht="16" x14ac:dyDescent="0.2">
      <c r="A291" t="s">
        <v>575</v>
      </c>
      <c r="B291" t="s">
        <v>576</v>
      </c>
      <c r="C291" t="str">
        <f t="shared" si="21"/>
        <v>La Peaña</v>
      </c>
      <c r="D291" t="str">
        <f t="shared" si="20"/>
        <v>La Peaña</v>
      </c>
      <c r="E291" t="str">
        <f t="shared" si="22"/>
        <v>EC070953</v>
      </c>
      <c r="F291" t="str">
        <f>_xlfn.XLOOKUP(G291,ecu_admgz_adm2!D:D,ecu_admgz_adm2!C:C)</f>
        <v>Pasaje</v>
      </c>
      <c r="G291" t="str">
        <f t="shared" si="23"/>
        <v>EC0709</v>
      </c>
      <c r="H291" t="str">
        <f t="shared" si="24"/>
        <v>EC07</v>
      </c>
      <c r="I291" t="str">
        <f>_xlfn.XLOOKUP(H291,eci_admgz_adm1!D:D,eci_admgz_adm1!C:C)</f>
        <v>El Oro</v>
      </c>
      <c r="J291" t="s">
        <v>2021</v>
      </c>
      <c r="K291" s="1" t="s">
        <v>2023</v>
      </c>
    </row>
    <row r="292" spans="1:11" ht="16" x14ac:dyDescent="0.2">
      <c r="A292" t="s">
        <v>577</v>
      </c>
      <c r="B292" t="s">
        <v>578</v>
      </c>
      <c r="C292" t="str">
        <f t="shared" si="21"/>
        <v>Progreso</v>
      </c>
      <c r="D292" t="str">
        <f t="shared" si="20"/>
        <v>Progreso</v>
      </c>
      <c r="E292" t="str">
        <f t="shared" si="22"/>
        <v>EC070954</v>
      </c>
      <c r="F292" t="str">
        <f>_xlfn.XLOOKUP(G292,ecu_admgz_adm2!D:D,ecu_admgz_adm2!C:C)</f>
        <v>Pasaje</v>
      </c>
      <c r="G292" t="str">
        <f t="shared" si="23"/>
        <v>EC0709</v>
      </c>
      <c r="H292" t="str">
        <f t="shared" si="24"/>
        <v>EC07</v>
      </c>
      <c r="I292" t="str">
        <f>_xlfn.XLOOKUP(H292,eci_admgz_adm1!D:D,eci_admgz_adm1!C:C)</f>
        <v>El Oro</v>
      </c>
      <c r="J292" t="s">
        <v>2021</v>
      </c>
      <c r="K292" s="1" t="s">
        <v>2023</v>
      </c>
    </row>
    <row r="293" spans="1:11" ht="16" x14ac:dyDescent="0.2">
      <c r="A293" t="s">
        <v>579</v>
      </c>
      <c r="B293" t="s">
        <v>580</v>
      </c>
      <c r="C293" t="str">
        <f t="shared" si="21"/>
        <v>Uzhcurrumi</v>
      </c>
      <c r="D293" t="str">
        <f t="shared" si="20"/>
        <v>Uzhcurrumi</v>
      </c>
      <c r="E293" t="str">
        <f t="shared" si="22"/>
        <v>EC070955</v>
      </c>
      <c r="F293" t="str">
        <f>_xlfn.XLOOKUP(G293,ecu_admgz_adm2!D:D,ecu_admgz_adm2!C:C)</f>
        <v>Pasaje</v>
      </c>
      <c r="G293" t="str">
        <f t="shared" si="23"/>
        <v>EC0709</v>
      </c>
      <c r="H293" t="str">
        <f t="shared" si="24"/>
        <v>EC07</v>
      </c>
      <c r="I293" t="str">
        <f>_xlfn.XLOOKUP(H293,eci_admgz_adm1!D:D,eci_admgz_adm1!C:C)</f>
        <v>El Oro</v>
      </c>
      <c r="J293" t="s">
        <v>2021</v>
      </c>
      <c r="K293" s="1" t="s">
        <v>2023</v>
      </c>
    </row>
    <row r="294" spans="1:11" ht="16" x14ac:dyDescent="0.2">
      <c r="A294" t="s">
        <v>581</v>
      </c>
      <c r="B294" t="s">
        <v>582</v>
      </c>
      <c r="C294" t="str">
        <f t="shared" si="21"/>
        <v>Cañaquemada</v>
      </c>
      <c r="D294" t="str">
        <f t="shared" si="20"/>
        <v>Cañaquemada</v>
      </c>
      <c r="E294" t="str">
        <f t="shared" si="22"/>
        <v>EC070956</v>
      </c>
      <c r="F294" t="str">
        <f>_xlfn.XLOOKUP(G294,ecu_admgz_adm2!D:D,ecu_admgz_adm2!C:C)</f>
        <v>Pasaje</v>
      </c>
      <c r="G294" t="str">
        <f t="shared" si="23"/>
        <v>EC0709</v>
      </c>
      <c r="H294" t="str">
        <f t="shared" si="24"/>
        <v>EC07</v>
      </c>
      <c r="I294" t="str">
        <f>_xlfn.XLOOKUP(H294,eci_admgz_adm1!D:D,eci_admgz_adm1!C:C)</f>
        <v>El Oro</v>
      </c>
      <c r="J294" t="s">
        <v>2021</v>
      </c>
      <c r="K294" s="1" t="s">
        <v>2023</v>
      </c>
    </row>
    <row r="295" spans="1:11" ht="16" x14ac:dyDescent="0.2">
      <c r="A295" t="s">
        <v>583</v>
      </c>
      <c r="B295" t="s">
        <v>584</v>
      </c>
      <c r="C295" t="str">
        <f t="shared" si="21"/>
        <v>Piñas</v>
      </c>
      <c r="D295" t="str">
        <f t="shared" si="20"/>
        <v>Piñas</v>
      </c>
      <c r="E295" t="str">
        <f t="shared" si="22"/>
        <v>EC071050</v>
      </c>
      <c r="F295" t="str">
        <f>_xlfn.XLOOKUP(G295,ecu_admgz_adm2!D:D,ecu_admgz_adm2!C:C)</f>
        <v>Piñas</v>
      </c>
      <c r="G295" t="str">
        <f t="shared" si="23"/>
        <v>EC0710</v>
      </c>
      <c r="H295" t="str">
        <f t="shared" si="24"/>
        <v>EC07</v>
      </c>
      <c r="I295" t="str">
        <f>_xlfn.XLOOKUP(H295,eci_admgz_adm1!D:D,eci_admgz_adm1!C:C)</f>
        <v>El Oro</v>
      </c>
      <c r="J295" t="s">
        <v>2021</v>
      </c>
      <c r="K295" s="1" t="s">
        <v>2023</v>
      </c>
    </row>
    <row r="296" spans="1:11" ht="16" x14ac:dyDescent="0.2">
      <c r="A296" t="s">
        <v>585</v>
      </c>
      <c r="B296" t="s">
        <v>586</v>
      </c>
      <c r="C296" t="str">
        <f t="shared" si="21"/>
        <v>Capiro</v>
      </c>
      <c r="D296" t="str">
        <f t="shared" si="20"/>
        <v>Capiro</v>
      </c>
      <c r="E296" t="str">
        <f t="shared" si="22"/>
        <v>EC071051</v>
      </c>
      <c r="F296" t="str">
        <f>_xlfn.XLOOKUP(G296,ecu_admgz_adm2!D:D,ecu_admgz_adm2!C:C)</f>
        <v>Piñas</v>
      </c>
      <c r="G296" t="str">
        <f t="shared" si="23"/>
        <v>EC0710</v>
      </c>
      <c r="H296" t="str">
        <f t="shared" si="24"/>
        <v>EC07</v>
      </c>
      <c r="I296" t="str">
        <f>_xlfn.XLOOKUP(H296,eci_admgz_adm1!D:D,eci_admgz_adm1!C:C)</f>
        <v>El Oro</v>
      </c>
      <c r="J296" t="s">
        <v>2021</v>
      </c>
      <c r="K296" s="1" t="s">
        <v>2023</v>
      </c>
    </row>
    <row r="297" spans="1:11" ht="16" x14ac:dyDescent="0.2">
      <c r="A297" t="s">
        <v>587</v>
      </c>
      <c r="B297" t="s">
        <v>588</v>
      </c>
      <c r="C297" t="str">
        <f t="shared" si="21"/>
        <v>La Bocana</v>
      </c>
      <c r="D297" t="str">
        <f t="shared" si="20"/>
        <v>La Bocana</v>
      </c>
      <c r="E297" t="str">
        <f t="shared" si="22"/>
        <v>EC071052</v>
      </c>
      <c r="F297" t="str">
        <f>_xlfn.XLOOKUP(G297,ecu_admgz_adm2!D:D,ecu_admgz_adm2!C:C)</f>
        <v>Piñas</v>
      </c>
      <c r="G297" t="str">
        <f t="shared" si="23"/>
        <v>EC0710</v>
      </c>
      <c r="H297" t="str">
        <f t="shared" si="24"/>
        <v>EC07</v>
      </c>
      <c r="I297" t="str">
        <f>_xlfn.XLOOKUP(H297,eci_admgz_adm1!D:D,eci_admgz_adm1!C:C)</f>
        <v>El Oro</v>
      </c>
      <c r="J297" t="s">
        <v>2021</v>
      </c>
      <c r="K297" s="1" t="s">
        <v>2023</v>
      </c>
    </row>
    <row r="298" spans="1:11" ht="16" x14ac:dyDescent="0.2">
      <c r="A298" t="s">
        <v>589</v>
      </c>
      <c r="B298" t="s">
        <v>590</v>
      </c>
      <c r="C298" t="str">
        <f t="shared" si="21"/>
        <v>Moromoro</v>
      </c>
      <c r="D298" t="str">
        <f t="shared" si="20"/>
        <v>Moromoro</v>
      </c>
      <c r="E298" t="str">
        <f t="shared" si="22"/>
        <v>EC071053</v>
      </c>
      <c r="F298" t="str">
        <f>_xlfn.XLOOKUP(G298,ecu_admgz_adm2!D:D,ecu_admgz_adm2!C:C)</f>
        <v>Piñas</v>
      </c>
      <c r="G298" t="str">
        <f t="shared" si="23"/>
        <v>EC0710</v>
      </c>
      <c r="H298" t="str">
        <f t="shared" si="24"/>
        <v>EC07</v>
      </c>
      <c r="I298" t="str">
        <f>_xlfn.XLOOKUP(H298,eci_admgz_adm1!D:D,eci_admgz_adm1!C:C)</f>
        <v>El Oro</v>
      </c>
      <c r="J298" t="s">
        <v>2021</v>
      </c>
      <c r="K298" s="1" t="s">
        <v>2023</v>
      </c>
    </row>
    <row r="299" spans="1:11" ht="16" x14ac:dyDescent="0.2">
      <c r="A299" t="s">
        <v>591</v>
      </c>
      <c r="B299" t="s">
        <v>592</v>
      </c>
      <c r="C299" t="str">
        <f t="shared" si="21"/>
        <v>Piedras</v>
      </c>
      <c r="D299" t="str">
        <f t="shared" si="20"/>
        <v>Piedras</v>
      </c>
      <c r="E299" t="str">
        <f t="shared" si="22"/>
        <v>EC071054</v>
      </c>
      <c r="F299" t="str">
        <f>_xlfn.XLOOKUP(G299,ecu_admgz_adm2!D:D,ecu_admgz_adm2!C:C)</f>
        <v>Piñas</v>
      </c>
      <c r="G299" t="str">
        <f t="shared" si="23"/>
        <v>EC0710</v>
      </c>
      <c r="H299" t="str">
        <f t="shared" si="24"/>
        <v>EC07</v>
      </c>
      <c r="I299" t="str">
        <f>_xlfn.XLOOKUP(H299,eci_admgz_adm1!D:D,eci_admgz_adm1!C:C)</f>
        <v>El Oro</v>
      </c>
      <c r="J299" t="s">
        <v>2021</v>
      </c>
      <c r="K299" s="1" t="s">
        <v>2023</v>
      </c>
    </row>
    <row r="300" spans="1:11" ht="16" x14ac:dyDescent="0.2">
      <c r="A300" t="s">
        <v>593</v>
      </c>
      <c r="B300" t="s">
        <v>594</v>
      </c>
      <c r="C300" t="str">
        <f t="shared" si="21"/>
        <v>San Roque</v>
      </c>
      <c r="D300" t="str">
        <f t="shared" si="20"/>
        <v>San Roque</v>
      </c>
      <c r="E300" t="str">
        <f t="shared" si="22"/>
        <v>EC071055</v>
      </c>
      <c r="F300" t="str">
        <f>_xlfn.XLOOKUP(G300,ecu_admgz_adm2!D:D,ecu_admgz_adm2!C:C)</f>
        <v>Piñas</v>
      </c>
      <c r="G300" t="str">
        <f t="shared" si="23"/>
        <v>EC0710</v>
      </c>
      <c r="H300" t="str">
        <f t="shared" si="24"/>
        <v>EC07</v>
      </c>
      <c r="I300" t="str">
        <f>_xlfn.XLOOKUP(H300,eci_admgz_adm1!D:D,eci_admgz_adm1!C:C)</f>
        <v>El Oro</v>
      </c>
      <c r="J300" t="s">
        <v>2021</v>
      </c>
      <c r="K300" s="1" t="s">
        <v>2023</v>
      </c>
    </row>
    <row r="301" spans="1:11" ht="16" x14ac:dyDescent="0.2">
      <c r="A301" t="s">
        <v>595</v>
      </c>
      <c r="B301" t="s">
        <v>596</v>
      </c>
      <c r="C301" t="str">
        <f t="shared" si="21"/>
        <v>Saracay</v>
      </c>
      <c r="D301" t="str">
        <f t="shared" si="20"/>
        <v>Saracay</v>
      </c>
      <c r="E301" t="str">
        <f t="shared" si="22"/>
        <v>EC071056</v>
      </c>
      <c r="F301" t="str">
        <f>_xlfn.XLOOKUP(G301,ecu_admgz_adm2!D:D,ecu_admgz_adm2!C:C)</f>
        <v>Piñas</v>
      </c>
      <c r="G301" t="str">
        <f t="shared" si="23"/>
        <v>EC0710</v>
      </c>
      <c r="H301" t="str">
        <f t="shared" si="24"/>
        <v>EC07</v>
      </c>
      <c r="I301" t="str">
        <f>_xlfn.XLOOKUP(H301,eci_admgz_adm1!D:D,eci_admgz_adm1!C:C)</f>
        <v>El Oro</v>
      </c>
      <c r="J301" t="s">
        <v>2021</v>
      </c>
      <c r="K301" s="1" t="s">
        <v>2023</v>
      </c>
    </row>
    <row r="302" spans="1:11" ht="16" x14ac:dyDescent="0.2">
      <c r="A302" t="s">
        <v>597</v>
      </c>
      <c r="B302" t="s">
        <v>598</v>
      </c>
      <c r="C302" t="str">
        <f t="shared" si="21"/>
        <v>Portovelo</v>
      </c>
      <c r="D302" t="str">
        <f t="shared" si="20"/>
        <v>Portovelo</v>
      </c>
      <c r="E302" t="str">
        <f t="shared" si="22"/>
        <v>EC071150</v>
      </c>
      <c r="F302" t="str">
        <f>_xlfn.XLOOKUP(G302,ecu_admgz_adm2!D:D,ecu_admgz_adm2!C:C)</f>
        <v>Portovelo</v>
      </c>
      <c r="G302" t="str">
        <f t="shared" si="23"/>
        <v>EC0711</v>
      </c>
      <c r="H302" t="str">
        <f t="shared" si="24"/>
        <v>EC07</v>
      </c>
      <c r="I302" t="str">
        <f>_xlfn.XLOOKUP(H302,eci_admgz_adm1!D:D,eci_admgz_adm1!C:C)</f>
        <v>El Oro</v>
      </c>
      <c r="J302" t="s">
        <v>2021</v>
      </c>
      <c r="K302" s="1" t="s">
        <v>2023</v>
      </c>
    </row>
    <row r="303" spans="1:11" ht="16" x14ac:dyDescent="0.2">
      <c r="A303" t="s">
        <v>599</v>
      </c>
      <c r="B303" t="s">
        <v>600</v>
      </c>
      <c r="C303" t="str">
        <f t="shared" si="21"/>
        <v>Curtincapa</v>
      </c>
      <c r="D303" t="str">
        <f t="shared" si="20"/>
        <v>Curtincapa</v>
      </c>
      <c r="E303" t="str">
        <f t="shared" si="22"/>
        <v>EC071151</v>
      </c>
      <c r="F303" t="str">
        <f>_xlfn.XLOOKUP(G303,ecu_admgz_adm2!D:D,ecu_admgz_adm2!C:C)</f>
        <v>Portovelo</v>
      </c>
      <c r="G303" t="str">
        <f t="shared" si="23"/>
        <v>EC0711</v>
      </c>
      <c r="H303" t="str">
        <f t="shared" si="24"/>
        <v>EC07</v>
      </c>
      <c r="I303" t="str">
        <f>_xlfn.XLOOKUP(H303,eci_admgz_adm1!D:D,eci_admgz_adm1!C:C)</f>
        <v>El Oro</v>
      </c>
      <c r="J303" t="s">
        <v>2021</v>
      </c>
      <c r="K303" s="1" t="s">
        <v>2023</v>
      </c>
    </row>
    <row r="304" spans="1:11" ht="16" x14ac:dyDescent="0.2">
      <c r="A304" t="s">
        <v>601</v>
      </c>
      <c r="B304" t="s">
        <v>602</v>
      </c>
      <c r="C304" t="str">
        <f t="shared" si="21"/>
        <v>Morales</v>
      </c>
      <c r="D304" t="str">
        <f t="shared" si="20"/>
        <v>Morales</v>
      </c>
      <c r="E304" t="str">
        <f t="shared" si="22"/>
        <v>EC071152</v>
      </c>
      <c r="F304" t="str">
        <f>_xlfn.XLOOKUP(G304,ecu_admgz_adm2!D:D,ecu_admgz_adm2!C:C)</f>
        <v>Portovelo</v>
      </c>
      <c r="G304" t="str">
        <f t="shared" si="23"/>
        <v>EC0711</v>
      </c>
      <c r="H304" t="str">
        <f t="shared" si="24"/>
        <v>EC07</v>
      </c>
      <c r="I304" t="str">
        <f>_xlfn.XLOOKUP(H304,eci_admgz_adm1!D:D,eci_admgz_adm1!C:C)</f>
        <v>El Oro</v>
      </c>
      <c r="J304" t="s">
        <v>2021</v>
      </c>
      <c r="K304" s="1" t="s">
        <v>2023</v>
      </c>
    </row>
    <row r="305" spans="1:11" ht="16" x14ac:dyDescent="0.2">
      <c r="A305" t="s">
        <v>603</v>
      </c>
      <c r="B305" t="s">
        <v>604</v>
      </c>
      <c r="C305" t="str">
        <f t="shared" si="21"/>
        <v>Salatí</v>
      </c>
      <c r="D305" t="str">
        <f t="shared" si="20"/>
        <v>Salatí</v>
      </c>
      <c r="E305" t="str">
        <f t="shared" si="22"/>
        <v>EC071153</v>
      </c>
      <c r="F305" t="str">
        <f>_xlfn.XLOOKUP(G305,ecu_admgz_adm2!D:D,ecu_admgz_adm2!C:C)</f>
        <v>Portovelo</v>
      </c>
      <c r="G305" t="str">
        <f t="shared" si="23"/>
        <v>EC0711</v>
      </c>
      <c r="H305" t="str">
        <f t="shared" si="24"/>
        <v>EC07</v>
      </c>
      <c r="I305" t="str">
        <f>_xlfn.XLOOKUP(H305,eci_admgz_adm1!D:D,eci_admgz_adm1!C:C)</f>
        <v>El Oro</v>
      </c>
      <c r="J305" t="s">
        <v>2021</v>
      </c>
      <c r="K305" s="1" t="s">
        <v>2023</v>
      </c>
    </row>
    <row r="306" spans="1:11" ht="16" x14ac:dyDescent="0.2">
      <c r="A306" t="s">
        <v>605</v>
      </c>
      <c r="B306" t="s">
        <v>606</v>
      </c>
      <c r="C306" t="str">
        <f t="shared" si="21"/>
        <v>Santa Rosa</v>
      </c>
      <c r="D306" t="str">
        <f t="shared" si="20"/>
        <v>Santa Rosa</v>
      </c>
      <c r="E306" t="str">
        <f t="shared" si="22"/>
        <v>EC071250</v>
      </c>
      <c r="F306" t="str">
        <f>_xlfn.XLOOKUP(G306,ecu_admgz_adm2!D:D,ecu_admgz_adm2!C:C)</f>
        <v>Santa Rosa</v>
      </c>
      <c r="G306" t="str">
        <f t="shared" si="23"/>
        <v>EC0712</v>
      </c>
      <c r="H306" t="str">
        <f t="shared" si="24"/>
        <v>EC07</v>
      </c>
      <c r="I306" t="str">
        <f>_xlfn.XLOOKUP(H306,eci_admgz_adm1!D:D,eci_admgz_adm1!C:C)</f>
        <v>El Oro</v>
      </c>
      <c r="J306" t="s">
        <v>2021</v>
      </c>
      <c r="K306" s="1" t="s">
        <v>2023</v>
      </c>
    </row>
    <row r="307" spans="1:11" ht="16" x14ac:dyDescent="0.2">
      <c r="A307" t="s">
        <v>607</v>
      </c>
      <c r="B307" t="s">
        <v>608</v>
      </c>
      <c r="C307" t="str">
        <f t="shared" si="21"/>
        <v>Bellavista</v>
      </c>
      <c r="D307" t="str">
        <f t="shared" si="20"/>
        <v>Bellavista</v>
      </c>
      <c r="E307" t="str">
        <f t="shared" si="22"/>
        <v>EC071251</v>
      </c>
      <c r="F307" t="str">
        <f>_xlfn.XLOOKUP(G307,ecu_admgz_adm2!D:D,ecu_admgz_adm2!C:C)</f>
        <v>Santa Rosa</v>
      </c>
      <c r="G307" t="str">
        <f t="shared" si="23"/>
        <v>EC0712</v>
      </c>
      <c r="H307" t="str">
        <f t="shared" si="24"/>
        <v>EC07</v>
      </c>
      <c r="I307" t="str">
        <f>_xlfn.XLOOKUP(H307,eci_admgz_adm1!D:D,eci_admgz_adm1!C:C)</f>
        <v>El Oro</v>
      </c>
      <c r="J307" t="s">
        <v>2021</v>
      </c>
      <c r="K307" s="1" t="s">
        <v>2023</v>
      </c>
    </row>
    <row r="308" spans="1:11" ht="16" x14ac:dyDescent="0.2">
      <c r="A308" t="s">
        <v>609</v>
      </c>
      <c r="B308" t="s">
        <v>610</v>
      </c>
      <c r="C308" t="str">
        <f t="shared" si="21"/>
        <v>Jambelí</v>
      </c>
      <c r="D308" t="str">
        <f t="shared" si="20"/>
        <v>Jambelí</v>
      </c>
      <c r="E308" t="str">
        <f t="shared" si="22"/>
        <v>EC071252</v>
      </c>
      <c r="F308" t="str">
        <f>_xlfn.XLOOKUP(G308,ecu_admgz_adm2!D:D,ecu_admgz_adm2!C:C)</f>
        <v>Santa Rosa</v>
      </c>
      <c r="G308" t="str">
        <f t="shared" si="23"/>
        <v>EC0712</v>
      </c>
      <c r="H308" t="str">
        <f t="shared" si="24"/>
        <v>EC07</v>
      </c>
      <c r="I308" t="str">
        <f>_xlfn.XLOOKUP(H308,eci_admgz_adm1!D:D,eci_admgz_adm1!C:C)</f>
        <v>El Oro</v>
      </c>
      <c r="J308" t="s">
        <v>2021</v>
      </c>
      <c r="K308" s="1" t="s">
        <v>2023</v>
      </c>
    </row>
    <row r="309" spans="1:11" ht="16" x14ac:dyDescent="0.2">
      <c r="A309" t="s">
        <v>611</v>
      </c>
      <c r="B309" t="s">
        <v>612</v>
      </c>
      <c r="C309" t="str">
        <f t="shared" si="21"/>
        <v>La Avanzada</v>
      </c>
      <c r="D309" t="str">
        <f t="shared" si="20"/>
        <v>La Avanzada</v>
      </c>
      <c r="E309" t="str">
        <f t="shared" si="22"/>
        <v>EC071253</v>
      </c>
      <c r="F309" t="str">
        <f>_xlfn.XLOOKUP(G309,ecu_admgz_adm2!D:D,ecu_admgz_adm2!C:C)</f>
        <v>Santa Rosa</v>
      </c>
      <c r="G309" t="str">
        <f t="shared" si="23"/>
        <v>EC0712</v>
      </c>
      <c r="H309" t="str">
        <f t="shared" si="24"/>
        <v>EC07</v>
      </c>
      <c r="I309" t="str">
        <f>_xlfn.XLOOKUP(H309,eci_admgz_adm1!D:D,eci_admgz_adm1!C:C)</f>
        <v>El Oro</v>
      </c>
      <c r="J309" t="s">
        <v>2021</v>
      </c>
      <c r="K309" s="1" t="s">
        <v>2023</v>
      </c>
    </row>
    <row r="310" spans="1:11" ht="16" x14ac:dyDescent="0.2">
      <c r="A310" t="s">
        <v>613</v>
      </c>
      <c r="B310" t="s">
        <v>250</v>
      </c>
      <c r="C310" t="str">
        <f t="shared" si="21"/>
        <v>San Antonio</v>
      </c>
      <c r="D310" t="str">
        <f t="shared" si="20"/>
        <v>San Antonio</v>
      </c>
      <c r="E310" t="str">
        <f t="shared" si="22"/>
        <v>EC071254</v>
      </c>
      <c r="F310" t="str">
        <f>_xlfn.XLOOKUP(G310,ecu_admgz_adm2!D:D,ecu_admgz_adm2!C:C)</f>
        <v>Santa Rosa</v>
      </c>
      <c r="G310" t="str">
        <f t="shared" si="23"/>
        <v>EC0712</v>
      </c>
      <c r="H310" t="str">
        <f t="shared" si="24"/>
        <v>EC07</v>
      </c>
      <c r="I310" t="str">
        <f>_xlfn.XLOOKUP(H310,eci_admgz_adm1!D:D,eci_admgz_adm1!C:C)</f>
        <v>El Oro</v>
      </c>
      <c r="J310" t="s">
        <v>2021</v>
      </c>
      <c r="K310" s="1" t="s">
        <v>2023</v>
      </c>
    </row>
    <row r="311" spans="1:11" ht="16" x14ac:dyDescent="0.2">
      <c r="A311" t="s">
        <v>614</v>
      </c>
      <c r="B311" t="s">
        <v>615</v>
      </c>
      <c r="C311" t="str">
        <f t="shared" si="21"/>
        <v>Torata</v>
      </c>
      <c r="D311" t="str">
        <f t="shared" si="20"/>
        <v>Torata</v>
      </c>
      <c r="E311" t="str">
        <f t="shared" si="22"/>
        <v>EC071255</v>
      </c>
      <c r="F311" t="str">
        <f>_xlfn.XLOOKUP(G311,ecu_admgz_adm2!D:D,ecu_admgz_adm2!C:C)</f>
        <v>Santa Rosa</v>
      </c>
      <c r="G311" t="str">
        <f t="shared" si="23"/>
        <v>EC0712</v>
      </c>
      <c r="H311" t="str">
        <f t="shared" si="24"/>
        <v>EC07</v>
      </c>
      <c r="I311" t="str">
        <f>_xlfn.XLOOKUP(H311,eci_admgz_adm1!D:D,eci_admgz_adm1!C:C)</f>
        <v>El Oro</v>
      </c>
      <c r="J311" t="s">
        <v>2021</v>
      </c>
      <c r="K311" s="1" t="s">
        <v>2023</v>
      </c>
    </row>
    <row r="312" spans="1:11" ht="16" x14ac:dyDescent="0.2">
      <c r="A312" t="s">
        <v>616</v>
      </c>
      <c r="B312" t="s">
        <v>617</v>
      </c>
      <c r="C312" t="str">
        <f t="shared" si="21"/>
        <v>Victoria</v>
      </c>
      <c r="D312" t="str">
        <f t="shared" si="20"/>
        <v>Victoria</v>
      </c>
      <c r="E312" t="str">
        <f t="shared" si="22"/>
        <v>EC071256</v>
      </c>
      <c r="F312" t="str">
        <f>_xlfn.XLOOKUP(G312,ecu_admgz_adm2!D:D,ecu_admgz_adm2!C:C)</f>
        <v>Santa Rosa</v>
      </c>
      <c r="G312" t="str">
        <f t="shared" si="23"/>
        <v>EC0712</v>
      </c>
      <c r="H312" t="str">
        <f t="shared" si="24"/>
        <v>EC07</v>
      </c>
      <c r="I312" t="str">
        <f>_xlfn.XLOOKUP(H312,eci_admgz_adm1!D:D,eci_admgz_adm1!C:C)</f>
        <v>El Oro</v>
      </c>
      <c r="J312" t="s">
        <v>2021</v>
      </c>
      <c r="K312" s="1" t="s">
        <v>2023</v>
      </c>
    </row>
    <row r="313" spans="1:11" ht="16" x14ac:dyDescent="0.2">
      <c r="A313" t="s">
        <v>618</v>
      </c>
      <c r="B313" t="s">
        <v>550</v>
      </c>
      <c r="C313" t="str">
        <f t="shared" si="21"/>
        <v>Bellamaría</v>
      </c>
      <c r="D313" t="str">
        <f t="shared" si="20"/>
        <v>Bellamaría</v>
      </c>
      <c r="E313" t="str">
        <f t="shared" si="22"/>
        <v>EC071257</v>
      </c>
      <c r="F313" t="str">
        <f>_xlfn.XLOOKUP(G313,ecu_admgz_adm2!D:D,ecu_admgz_adm2!C:C)</f>
        <v>Santa Rosa</v>
      </c>
      <c r="G313" t="str">
        <f t="shared" si="23"/>
        <v>EC0712</v>
      </c>
      <c r="H313" t="str">
        <f t="shared" si="24"/>
        <v>EC07</v>
      </c>
      <c r="I313" t="str">
        <f>_xlfn.XLOOKUP(H313,eci_admgz_adm1!D:D,eci_admgz_adm1!C:C)</f>
        <v>El Oro</v>
      </c>
      <c r="J313" t="s">
        <v>2021</v>
      </c>
      <c r="K313" s="1" t="s">
        <v>2023</v>
      </c>
    </row>
    <row r="314" spans="1:11" ht="16" x14ac:dyDescent="0.2">
      <c r="A314" t="s">
        <v>619</v>
      </c>
      <c r="B314" t="s">
        <v>620</v>
      </c>
      <c r="C314" t="str">
        <f t="shared" si="21"/>
        <v>Zaruma</v>
      </c>
      <c r="D314" t="str">
        <f t="shared" si="20"/>
        <v>Zaruma</v>
      </c>
      <c r="E314" t="str">
        <f t="shared" si="22"/>
        <v>EC071350</v>
      </c>
      <c r="F314" t="str">
        <f>_xlfn.XLOOKUP(G314,ecu_admgz_adm2!D:D,ecu_admgz_adm2!C:C)</f>
        <v>Zaruma</v>
      </c>
      <c r="G314" t="str">
        <f t="shared" si="23"/>
        <v>EC0713</v>
      </c>
      <c r="H314" t="str">
        <f t="shared" si="24"/>
        <v>EC07</v>
      </c>
      <c r="I314" t="str">
        <f>_xlfn.XLOOKUP(H314,eci_admgz_adm1!D:D,eci_admgz_adm1!C:C)</f>
        <v>El Oro</v>
      </c>
      <c r="J314" t="s">
        <v>2021</v>
      </c>
      <c r="K314" s="1" t="s">
        <v>2023</v>
      </c>
    </row>
    <row r="315" spans="1:11" ht="16" x14ac:dyDescent="0.2">
      <c r="A315" t="s">
        <v>621</v>
      </c>
      <c r="B315" t="s">
        <v>622</v>
      </c>
      <c r="C315" t="str">
        <f t="shared" si="21"/>
        <v>Abañín</v>
      </c>
      <c r="D315" t="str">
        <f t="shared" si="20"/>
        <v>Abañín</v>
      </c>
      <c r="E315" t="str">
        <f t="shared" si="22"/>
        <v>EC071351</v>
      </c>
      <c r="F315" t="str">
        <f>_xlfn.XLOOKUP(G315,ecu_admgz_adm2!D:D,ecu_admgz_adm2!C:C)</f>
        <v>Zaruma</v>
      </c>
      <c r="G315" t="str">
        <f t="shared" si="23"/>
        <v>EC0713</v>
      </c>
      <c r="H315" t="str">
        <f t="shared" si="24"/>
        <v>EC07</v>
      </c>
      <c r="I315" t="str">
        <f>_xlfn.XLOOKUP(H315,eci_admgz_adm1!D:D,eci_admgz_adm1!C:C)</f>
        <v>El Oro</v>
      </c>
      <c r="J315" t="s">
        <v>2021</v>
      </c>
      <c r="K315" s="1" t="s">
        <v>2023</v>
      </c>
    </row>
    <row r="316" spans="1:11" ht="16" x14ac:dyDescent="0.2">
      <c r="A316" t="s">
        <v>623</v>
      </c>
      <c r="B316" t="s">
        <v>624</v>
      </c>
      <c r="C316" t="str">
        <f t="shared" si="21"/>
        <v>Arcapamba</v>
      </c>
      <c r="D316" t="str">
        <f t="shared" si="20"/>
        <v>Arcapamba</v>
      </c>
      <c r="E316" t="str">
        <f t="shared" si="22"/>
        <v>EC071352</v>
      </c>
      <c r="F316" t="str">
        <f>_xlfn.XLOOKUP(G316,ecu_admgz_adm2!D:D,ecu_admgz_adm2!C:C)</f>
        <v>Zaruma</v>
      </c>
      <c r="G316" t="str">
        <f t="shared" si="23"/>
        <v>EC0713</v>
      </c>
      <c r="H316" t="str">
        <f t="shared" si="24"/>
        <v>EC07</v>
      </c>
      <c r="I316" t="str">
        <f>_xlfn.XLOOKUP(H316,eci_admgz_adm1!D:D,eci_admgz_adm1!C:C)</f>
        <v>El Oro</v>
      </c>
      <c r="J316" t="s">
        <v>2021</v>
      </c>
      <c r="K316" s="1" t="s">
        <v>2023</v>
      </c>
    </row>
    <row r="317" spans="1:11" ht="16" x14ac:dyDescent="0.2">
      <c r="A317" t="s">
        <v>625</v>
      </c>
      <c r="B317" t="s">
        <v>626</v>
      </c>
      <c r="C317" t="str">
        <f t="shared" si="21"/>
        <v>Guanazán</v>
      </c>
      <c r="D317" t="str">
        <f t="shared" si="20"/>
        <v>Guanazán</v>
      </c>
      <c r="E317" t="str">
        <f t="shared" si="22"/>
        <v>EC071353</v>
      </c>
      <c r="F317" t="str">
        <f>_xlfn.XLOOKUP(G317,ecu_admgz_adm2!D:D,ecu_admgz_adm2!C:C)</f>
        <v>Zaruma</v>
      </c>
      <c r="G317" t="str">
        <f t="shared" si="23"/>
        <v>EC0713</v>
      </c>
      <c r="H317" t="str">
        <f t="shared" si="24"/>
        <v>EC07</v>
      </c>
      <c r="I317" t="str">
        <f>_xlfn.XLOOKUP(H317,eci_admgz_adm1!D:D,eci_admgz_adm1!C:C)</f>
        <v>El Oro</v>
      </c>
      <c r="J317" t="s">
        <v>2021</v>
      </c>
      <c r="K317" s="1" t="s">
        <v>2023</v>
      </c>
    </row>
    <row r="318" spans="1:11" ht="16" x14ac:dyDescent="0.2">
      <c r="A318" t="s">
        <v>627</v>
      </c>
      <c r="B318" t="s">
        <v>628</v>
      </c>
      <c r="C318" t="str">
        <f t="shared" si="21"/>
        <v>Guizhaguiña</v>
      </c>
      <c r="D318" t="str">
        <f t="shared" si="20"/>
        <v>Guizhaguiña</v>
      </c>
      <c r="E318" t="str">
        <f t="shared" si="22"/>
        <v>EC071354</v>
      </c>
      <c r="F318" t="str">
        <f>_xlfn.XLOOKUP(G318,ecu_admgz_adm2!D:D,ecu_admgz_adm2!C:C)</f>
        <v>Zaruma</v>
      </c>
      <c r="G318" t="str">
        <f t="shared" si="23"/>
        <v>EC0713</v>
      </c>
      <c r="H318" t="str">
        <f t="shared" si="24"/>
        <v>EC07</v>
      </c>
      <c r="I318" t="str">
        <f>_xlfn.XLOOKUP(H318,eci_admgz_adm1!D:D,eci_admgz_adm1!C:C)</f>
        <v>El Oro</v>
      </c>
      <c r="J318" t="s">
        <v>2021</v>
      </c>
      <c r="K318" s="1" t="s">
        <v>2023</v>
      </c>
    </row>
    <row r="319" spans="1:11" ht="16" x14ac:dyDescent="0.2">
      <c r="A319" t="s">
        <v>629</v>
      </c>
      <c r="B319" t="s">
        <v>630</v>
      </c>
      <c r="C319" t="str">
        <f t="shared" si="21"/>
        <v>Huertas</v>
      </c>
      <c r="D319" t="str">
        <f t="shared" si="20"/>
        <v>Huertas</v>
      </c>
      <c r="E319" t="str">
        <f t="shared" si="22"/>
        <v>EC071355</v>
      </c>
      <c r="F319" t="str">
        <f>_xlfn.XLOOKUP(G319,ecu_admgz_adm2!D:D,ecu_admgz_adm2!C:C)</f>
        <v>Zaruma</v>
      </c>
      <c r="G319" t="str">
        <f t="shared" si="23"/>
        <v>EC0713</v>
      </c>
      <c r="H319" t="str">
        <f t="shared" si="24"/>
        <v>EC07</v>
      </c>
      <c r="I319" t="str">
        <f>_xlfn.XLOOKUP(H319,eci_admgz_adm1!D:D,eci_admgz_adm1!C:C)</f>
        <v>El Oro</v>
      </c>
      <c r="J319" t="s">
        <v>2021</v>
      </c>
      <c r="K319" s="1" t="s">
        <v>2023</v>
      </c>
    </row>
    <row r="320" spans="1:11" ht="16" x14ac:dyDescent="0.2">
      <c r="A320" t="s">
        <v>631</v>
      </c>
      <c r="B320" t="s">
        <v>632</v>
      </c>
      <c r="C320" t="str">
        <f t="shared" si="21"/>
        <v>Malvas</v>
      </c>
      <c r="D320" t="str">
        <f t="shared" si="20"/>
        <v>Malvas</v>
      </c>
      <c r="E320" t="str">
        <f t="shared" si="22"/>
        <v>EC071356</v>
      </c>
      <c r="F320" t="str">
        <f>_xlfn.XLOOKUP(G320,ecu_admgz_adm2!D:D,ecu_admgz_adm2!C:C)</f>
        <v>Zaruma</v>
      </c>
      <c r="G320" t="str">
        <f t="shared" si="23"/>
        <v>EC0713</v>
      </c>
      <c r="H320" t="str">
        <f t="shared" si="24"/>
        <v>EC07</v>
      </c>
      <c r="I320" t="str">
        <f>_xlfn.XLOOKUP(H320,eci_admgz_adm1!D:D,eci_admgz_adm1!C:C)</f>
        <v>El Oro</v>
      </c>
      <c r="J320" t="s">
        <v>2021</v>
      </c>
      <c r="K320" s="1" t="s">
        <v>2023</v>
      </c>
    </row>
    <row r="321" spans="1:11" ht="16" x14ac:dyDescent="0.2">
      <c r="A321" t="s">
        <v>633</v>
      </c>
      <c r="B321" t="s">
        <v>634</v>
      </c>
      <c r="C321" t="str">
        <f t="shared" si="21"/>
        <v>Muluncay Grande</v>
      </c>
      <c r="D321" t="str">
        <f t="shared" si="20"/>
        <v>Muluncay Grande</v>
      </c>
      <c r="E321" t="str">
        <f t="shared" si="22"/>
        <v>EC071357</v>
      </c>
      <c r="F321" t="str">
        <f>_xlfn.XLOOKUP(G321,ecu_admgz_adm2!D:D,ecu_admgz_adm2!C:C)</f>
        <v>Zaruma</v>
      </c>
      <c r="G321" t="str">
        <f t="shared" si="23"/>
        <v>EC0713</v>
      </c>
      <c r="H321" t="str">
        <f t="shared" si="24"/>
        <v>EC07</v>
      </c>
      <c r="I321" t="str">
        <f>_xlfn.XLOOKUP(H321,eci_admgz_adm1!D:D,eci_admgz_adm1!C:C)</f>
        <v>El Oro</v>
      </c>
      <c r="J321" t="s">
        <v>2021</v>
      </c>
      <c r="K321" s="1" t="s">
        <v>2023</v>
      </c>
    </row>
    <row r="322" spans="1:11" ht="16" x14ac:dyDescent="0.2">
      <c r="A322" t="s">
        <v>635</v>
      </c>
      <c r="B322" t="s">
        <v>636</v>
      </c>
      <c r="C322" t="str">
        <f t="shared" si="21"/>
        <v>Sinsao</v>
      </c>
      <c r="D322" t="str">
        <f t="shared" ref="D322:D385" si="25">SUBSTITUTE(SUBSTITUTE(SUBSTITUTE(SUBSTITUTE(SUBSTITUTE(SUBSTITUTE(PROPER($C322)," De "," de ")," La "," la ")," Del "," del ")," Los "," los ")," Y "," y "),"En","en")</f>
        <v>Sinsao</v>
      </c>
      <c r="E322" t="str">
        <f t="shared" si="22"/>
        <v>EC071358</v>
      </c>
      <c r="F322" t="str">
        <f>_xlfn.XLOOKUP(G322,ecu_admgz_adm2!D:D,ecu_admgz_adm2!C:C)</f>
        <v>Zaruma</v>
      </c>
      <c r="G322" t="str">
        <f t="shared" si="23"/>
        <v>EC0713</v>
      </c>
      <c r="H322" t="str">
        <f t="shared" si="24"/>
        <v>EC07</v>
      </c>
      <c r="I322" t="str">
        <f>_xlfn.XLOOKUP(H322,eci_admgz_adm1!D:D,eci_admgz_adm1!C:C)</f>
        <v>El Oro</v>
      </c>
      <c r="J322" t="s">
        <v>2021</v>
      </c>
      <c r="K322" s="1" t="s">
        <v>2023</v>
      </c>
    </row>
    <row r="323" spans="1:11" ht="16" x14ac:dyDescent="0.2">
      <c r="A323" t="s">
        <v>637</v>
      </c>
      <c r="B323" t="s">
        <v>638</v>
      </c>
      <c r="C323" t="str">
        <f t="shared" ref="C323:C386" si="26">PROPER(B323)</f>
        <v>Salvias</v>
      </c>
      <c r="D323" t="str">
        <f t="shared" si="25"/>
        <v>Salvias</v>
      </c>
      <c r="E323" t="str">
        <f t="shared" ref="E323:E386" si="27">"EC"&amp;A323</f>
        <v>EC071359</v>
      </c>
      <c r="F323" t="str">
        <f>_xlfn.XLOOKUP(G323,ecu_admgz_adm2!D:D,ecu_admgz_adm2!C:C)</f>
        <v>Zaruma</v>
      </c>
      <c r="G323" t="str">
        <f t="shared" ref="G323:G386" si="28">LEFT(E323,6)</f>
        <v>EC0713</v>
      </c>
      <c r="H323" t="str">
        <f t="shared" ref="H323:H386" si="29">LEFT(G323,4)</f>
        <v>EC07</v>
      </c>
      <c r="I323" t="str">
        <f>_xlfn.XLOOKUP(H323,eci_admgz_adm1!D:D,eci_admgz_adm1!C:C)</f>
        <v>El Oro</v>
      </c>
      <c r="J323" t="s">
        <v>2021</v>
      </c>
      <c r="K323" s="1" t="s">
        <v>2023</v>
      </c>
    </row>
    <row r="324" spans="1:11" ht="16" x14ac:dyDescent="0.2">
      <c r="A324" t="s">
        <v>639</v>
      </c>
      <c r="B324" t="s">
        <v>377</v>
      </c>
      <c r="C324" t="str">
        <f t="shared" si="26"/>
        <v>La Victoria</v>
      </c>
      <c r="D324" t="str">
        <f t="shared" si="25"/>
        <v>La Victoria</v>
      </c>
      <c r="E324" t="str">
        <f t="shared" si="27"/>
        <v>EC071450</v>
      </c>
      <c r="F324" t="str">
        <f>_xlfn.XLOOKUP(G324,ecu_admgz_adm2!D:D,ecu_admgz_adm2!C:C)</f>
        <v>Las Lajas</v>
      </c>
      <c r="G324" t="str">
        <f t="shared" si="28"/>
        <v>EC0714</v>
      </c>
      <c r="H324" t="str">
        <f t="shared" si="29"/>
        <v>EC07</v>
      </c>
      <c r="I324" t="str">
        <f>_xlfn.XLOOKUP(H324,eci_admgz_adm1!D:D,eci_admgz_adm1!C:C)</f>
        <v>El Oro</v>
      </c>
      <c r="J324" t="s">
        <v>2021</v>
      </c>
      <c r="K324" s="1" t="s">
        <v>2023</v>
      </c>
    </row>
    <row r="325" spans="1:11" ht="16" x14ac:dyDescent="0.2">
      <c r="A325" t="s">
        <v>640</v>
      </c>
      <c r="B325" t="s">
        <v>307</v>
      </c>
      <c r="C325" t="str">
        <f t="shared" si="26"/>
        <v>La Libertad</v>
      </c>
      <c r="D325" t="str">
        <f t="shared" si="25"/>
        <v>La Libertad</v>
      </c>
      <c r="E325" t="str">
        <f t="shared" si="27"/>
        <v>EC071451</v>
      </c>
      <c r="F325" t="str">
        <f>_xlfn.XLOOKUP(G325,ecu_admgz_adm2!D:D,ecu_admgz_adm2!C:C)</f>
        <v>Las Lajas</v>
      </c>
      <c r="G325" t="str">
        <f t="shared" si="28"/>
        <v>EC0714</v>
      </c>
      <c r="H325" t="str">
        <f t="shared" si="29"/>
        <v>EC07</v>
      </c>
      <c r="I325" t="str">
        <f>_xlfn.XLOOKUP(H325,eci_admgz_adm1!D:D,eci_admgz_adm1!C:C)</f>
        <v>El Oro</v>
      </c>
      <c r="J325" t="s">
        <v>2021</v>
      </c>
      <c r="K325" s="1" t="s">
        <v>2023</v>
      </c>
    </row>
    <row r="326" spans="1:11" ht="16" x14ac:dyDescent="0.2">
      <c r="A326" t="s">
        <v>641</v>
      </c>
      <c r="B326" t="s">
        <v>642</v>
      </c>
      <c r="C326" t="str">
        <f t="shared" si="26"/>
        <v>El Paraíso</v>
      </c>
      <c r="D326" t="str">
        <f t="shared" si="25"/>
        <v>El Paraíso</v>
      </c>
      <c r="E326" t="str">
        <f t="shared" si="27"/>
        <v>EC071452</v>
      </c>
      <c r="F326" t="str">
        <f>_xlfn.XLOOKUP(G326,ecu_admgz_adm2!D:D,ecu_admgz_adm2!C:C)</f>
        <v>Las Lajas</v>
      </c>
      <c r="G326" t="str">
        <f t="shared" si="28"/>
        <v>EC0714</v>
      </c>
      <c r="H326" t="str">
        <f t="shared" si="29"/>
        <v>EC07</v>
      </c>
      <c r="I326" t="str">
        <f>_xlfn.XLOOKUP(H326,eci_admgz_adm1!D:D,eci_admgz_adm1!C:C)</f>
        <v>El Oro</v>
      </c>
      <c r="J326" t="s">
        <v>2021</v>
      </c>
      <c r="K326" s="1" t="s">
        <v>2023</v>
      </c>
    </row>
    <row r="327" spans="1:11" ht="16" x14ac:dyDescent="0.2">
      <c r="A327" t="s">
        <v>643</v>
      </c>
      <c r="B327" t="s">
        <v>309</v>
      </c>
      <c r="C327" t="str">
        <f t="shared" si="26"/>
        <v>San Isidro</v>
      </c>
      <c r="D327" t="str">
        <f t="shared" si="25"/>
        <v>San Isidro</v>
      </c>
      <c r="E327" t="str">
        <f t="shared" si="27"/>
        <v>EC071453</v>
      </c>
      <c r="F327" t="str">
        <f>_xlfn.XLOOKUP(G327,ecu_admgz_adm2!D:D,ecu_admgz_adm2!C:C)</f>
        <v>Las Lajas</v>
      </c>
      <c r="G327" t="str">
        <f t="shared" si="28"/>
        <v>EC0714</v>
      </c>
      <c r="H327" t="str">
        <f t="shared" si="29"/>
        <v>EC07</v>
      </c>
      <c r="I327" t="str">
        <f>_xlfn.XLOOKUP(H327,eci_admgz_adm1!D:D,eci_admgz_adm1!C:C)</f>
        <v>El Oro</v>
      </c>
      <c r="J327" t="s">
        <v>2021</v>
      </c>
      <c r="K327" s="1" t="s">
        <v>2023</v>
      </c>
    </row>
    <row r="328" spans="1:11" ht="16" x14ac:dyDescent="0.2">
      <c r="A328" t="s">
        <v>644</v>
      </c>
      <c r="B328" t="s">
        <v>645</v>
      </c>
      <c r="C328" t="str">
        <f t="shared" si="26"/>
        <v>Esmeraldas</v>
      </c>
      <c r="D328" t="str">
        <f t="shared" si="25"/>
        <v>Esmeraldas</v>
      </c>
      <c r="E328" t="str">
        <f t="shared" si="27"/>
        <v>EC080150</v>
      </c>
      <c r="F328" t="str">
        <f>_xlfn.XLOOKUP(G328,ecu_admgz_adm2!D:D,ecu_admgz_adm2!C:C)</f>
        <v>Esmeraldas</v>
      </c>
      <c r="G328" t="str">
        <f t="shared" si="28"/>
        <v>EC0801</v>
      </c>
      <c r="H328" t="str">
        <f t="shared" si="29"/>
        <v>EC08</v>
      </c>
      <c r="I328" t="str">
        <f>_xlfn.XLOOKUP(H328,eci_admgz_adm1!D:D,eci_admgz_adm1!C:C)</f>
        <v>Esmeraldas</v>
      </c>
      <c r="J328" t="s">
        <v>2021</v>
      </c>
      <c r="K328" s="1" t="s">
        <v>2023</v>
      </c>
    </row>
    <row r="329" spans="1:11" ht="16" x14ac:dyDescent="0.2">
      <c r="A329" t="s">
        <v>646</v>
      </c>
      <c r="B329" t="s">
        <v>647</v>
      </c>
      <c r="C329" t="str">
        <f t="shared" si="26"/>
        <v>Camarones</v>
      </c>
      <c r="D329" t="str">
        <f t="shared" si="25"/>
        <v>Camarones</v>
      </c>
      <c r="E329" t="str">
        <f t="shared" si="27"/>
        <v>EC080152</v>
      </c>
      <c r="F329" t="str">
        <f>_xlfn.XLOOKUP(G329,ecu_admgz_adm2!D:D,ecu_admgz_adm2!C:C)</f>
        <v>Esmeraldas</v>
      </c>
      <c r="G329" t="str">
        <f t="shared" si="28"/>
        <v>EC0801</v>
      </c>
      <c r="H329" t="str">
        <f t="shared" si="29"/>
        <v>EC08</v>
      </c>
      <c r="I329" t="str">
        <f>_xlfn.XLOOKUP(H329,eci_admgz_adm1!D:D,eci_admgz_adm1!C:C)</f>
        <v>Esmeraldas</v>
      </c>
      <c r="J329" t="s">
        <v>2021</v>
      </c>
      <c r="K329" s="1" t="s">
        <v>2023</v>
      </c>
    </row>
    <row r="330" spans="1:11" ht="16" x14ac:dyDescent="0.2">
      <c r="A330" t="s">
        <v>648</v>
      </c>
      <c r="B330" t="s">
        <v>649</v>
      </c>
      <c r="C330" t="str">
        <f t="shared" si="26"/>
        <v>Coronel Carlos Concha Torres</v>
      </c>
      <c r="D330" t="str">
        <f t="shared" si="25"/>
        <v>Coronel Carlos Concha Torres</v>
      </c>
      <c r="E330" t="str">
        <f t="shared" si="27"/>
        <v>EC080153</v>
      </c>
      <c r="F330" t="str">
        <f>_xlfn.XLOOKUP(G330,ecu_admgz_adm2!D:D,ecu_admgz_adm2!C:C)</f>
        <v>Esmeraldas</v>
      </c>
      <c r="G330" t="str">
        <f t="shared" si="28"/>
        <v>EC0801</v>
      </c>
      <c r="H330" t="str">
        <f t="shared" si="29"/>
        <v>EC08</v>
      </c>
      <c r="I330" t="str">
        <f>_xlfn.XLOOKUP(H330,eci_admgz_adm1!D:D,eci_admgz_adm1!C:C)</f>
        <v>Esmeraldas</v>
      </c>
      <c r="J330" t="s">
        <v>2021</v>
      </c>
      <c r="K330" s="1" t="s">
        <v>2023</v>
      </c>
    </row>
    <row r="331" spans="1:11" ht="16" x14ac:dyDescent="0.2">
      <c r="A331" t="s">
        <v>650</v>
      </c>
      <c r="B331" t="s">
        <v>651</v>
      </c>
      <c r="C331" t="str">
        <f t="shared" si="26"/>
        <v>Chinca</v>
      </c>
      <c r="D331" t="str">
        <f t="shared" si="25"/>
        <v>Chinca</v>
      </c>
      <c r="E331" t="str">
        <f t="shared" si="27"/>
        <v>EC080154</v>
      </c>
      <c r="F331" t="str">
        <f>_xlfn.XLOOKUP(G331,ecu_admgz_adm2!D:D,ecu_admgz_adm2!C:C)</f>
        <v>Esmeraldas</v>
      </c>
      <c r="G331" t="str">
        <f t="shared" si="28"/>
        <v>EC0801</v>
      </c>
      <c r="H331" t="str">
        <f t="shared" si="29"/>
        <v>EC08</v>
      </c>
      <c r="I331" t="str">
        <f>_xlfn.XLOOKUP(H331,eci_admgz_adm1!D:D,eci_admgz_adm1!C:C)</f>
        <v>Esmeraldas</v>
      </c>
      <c r="J331" t="s">
        <v>2021</v>
      </c>
      <c r="K331" s="1" t="s">
        <v>2023</v>
      </c>
    </row>
    <row r="332" spans="1:11" ht="16" x14ac:dyDescent="0.2">
      <c r="A332" t="s">
        <v>652</v>
      </c>
      <c r="B332" t="s">
        <v>653</v>
      </c>
      <c r="C332" t="str">
        <f t="shared" si="26"/>
        <v>Majua</v>
      </c>
      <c r="D332" t="str">
        <f t="shared" si="25"/>
        <v>Majua</v>
      </c>
      <c r="E332" t="str">
        <f t="shared" si="27"/>
        <v>EC080159</v>
      </c>
      <c r="F332" t="str">
        <f>_xlfn.XLOOKUP(G332,ecu_admgz_adm2!D:D,ecu_admgz_adm2!C:C)</f>
        <v>Esmeraldas</v>
      </c>
      <c r="G332" t="str">
        <f t="shared" si="28"/>
        <v>EC0801</v>
      </c>
      <c r="H332" t="str">
        <f t="shared" si="29"/>
        <v>EC08</v>
      </c>
      <c r="I332" t="str">
        <f>_xlfn.XLOOKUP(H332,eci_admgz_adm1!D:D,eci_admgz_adm1!C:C)</f>
        <v>Esmeraldas</v>
      </c>
      <c r="J332" t="s">
        <v>2021</v>
      </c>
      <c r="K332" s="1" t="s">
        <v>2023</v>
      </c>
    </row>
    <row r="333" spans="1:11" ht="16" x14ac:dyDescent="0.2">
      <c r="A333" t="s">
        <v>654</v>
      </c>
      <c r="B333" t="s">
        <v>655</v>
      </c>
      <c r="C333" t="str">
        <f t="shared" si="26"/>
        <v>San Mateo</v>
      </c>
      <c r="D333" t="str">
        <f t="shared" si="25"/>
        <v>San Mateo</v>
      </c>
      <c r="E333" t="str">
        <f t="shared" si="27"/>
        <v>EC080163</v>
      </c>
      <c r="F333" t="str">
        <f>_xlfn.XLOOKUP(G333,ecu_admgz_adm2!D:D,ecu_admgz_adm2!C:C)</f>
        <v>Esmeraldas</v>
      </c>
      <c r="G333" t="str">
        <f t="shared" si="28"/>
        <v>EC0801</v>
      </c>
      <c r="H333" t="str">
        <f t="shared" si="29"/>
        <v>EC08</v>
      </c>
      <c r="I333" t="str">
        <f>_xlfn.XLOOKUP(H333,eci_admgz_adm1!D:D,eci_admgz_adm1!C:C)</f>
        <v>Esmeraldas</v>
      </c>
      <c r="J333" t="s">
        <v>2021</v>
      </c>
      <c r="K333" s="1" t="s">
        <v>2023</v>
      </c>
    </row>
    <row r="334" spans="1:11" ht="16" x14ac:dyDescent="0.2">
      <c r="A334" t="s">
        <v>656</v>
      </c>
      <c r="B334" t="s">
        <v>657</v>
      </c>
      <c r="C334" t="str">
        <f t="shared" si="26"/>
        <v>Tabiazo</v>
      </c>
      <c r="D334" t="str">
        <f t="shared" si="25"/>
        <v>Tabiazo</v>
      </c>
      <c r="E334" t="str">
        <f t="shared" si="27"/>
        <v>EC080165</v>
      </c>
      <c r="F334" t="str">
        <f>_xlfn.XLOOKUP(G334,ecu_admgz_adm2!D:D,ecu_admgz_adm2!C:C)</f>
        <v>Esmeraldas</v>
      </c>
      <c r="G334" t="str">
        <f t="shared" si="28"/>
        <v>EC0801</v>
      </c>
      <c r="H334" t="str">
        <f t="shared" si="29"/>
        <v>EC08</v>
      </c>
      <c r="I334" t="str">
        <f>_xlfn.XLOOKUP(H334,eci_admgz_adm1!D:D,eci_admgz_adm1!C:C)</f>
        <v>Esmeraldas</v>
      </c>
      <c r="J334" t="s">
        <v>2021</v>
      </c>
      <c r="K334" s="1" t="s">
        <v>2023</v>
      </c>
    </row>
    <row r="335" spans="1:11" ht="16" x14ac:dyDescent="0.2">
      <c r="A335" t="s">
        <v>658</v>
      </c>
      <c r="B335" t="s">
        <v>659</v>
      </c>
      <c r="C335" t="str">
        <f t="shared" si="26"/>
        <v>Tachina</v>
      </c>
      <c r="D335" t="str">
        <f t="shared" si="25"/>
        <v>Tachina</v>
      </c>
      <c r="E335" t="str">
        <f t="shared" si="27"/>
        <v>EC080166</v>
      </c>
      <c r="F335" t="str">
        <f>_xlfn.XLOOKUP(G335,ecu_admgz_adm2!D:D,ecu_admgz_adm2!C:C)</f>
        <v>Esmeraldas</v>
      </c>
      <c r="G335" t="str">
        <f t="shared" si="28"/>
        <v>EC0801</v>
      </c>
      <c r="H335" t="str">
        <f t="shared" si="29"/>
        <v>EC08</v>
      </c>
      <c r="I335" t="str">
        <f>_xlfn.XLOOKUP(H335,eci_admgz_adm1!D:D,eci_admgz_adm1!C:C)</f>
        <v>Esmeraldas</v>
      </c>
      <c r="J335" t="s">
        <v>2021</v>
      </c>
      <c r="K335" s="1" t="s">
        <v>2023</v>
      </c>
    </row>
    <row r="336" spans="1:11" ht="16" x14ac:dyDescent="0.2">
      <c r="A336" t="s">
        <v>660</v>
      </c>
      <c r="B336" t="s">
        <v>661</v>
      </c>
      <c r="C336" t="str">
        <f t="shared" si="26"/>
        <v>Vuelta Larga</v>
      </c>
      <c r="D336" t="str">
        <f t="shared" si="25"/>
        <v>Vuelta Larga</v>
      </c>
      <c r="E336" t="str">
        <f t="shared" si="27"/>
        <v>EC080168</v>
      </c>
      <c r="F336" t="str">
        <f>_xlfn.XLOOKUP(G336,ecu_admgz_adm2!D:D,ecu_admgz_adm2!C:C)</f>
        <v>Esmeraldas</v>
      </c>
      <c r="G336" t="str">
        <f t="shared" si="28"/>
        <v>EC0801</v>
      </c>
      <c r="H336" t="str">
        <f t="shared" si="29"/>
        <v>EC08</v>
      </c>
      <c r="I336" t="str">
        <f>_xlfn.XLOOKUP(H336,eci_admgz_adm1!D:D,eci_admgz_adm1!C:C)</f>
        <v>Esmeraldas</v>
      </c>
      <c r="J336" t="s">
        <v>2021</v>
      </c>
      <c r="K336" s="1" t="s">
        <v>2023</v>
      </c>
    </row>
    <row r="337" spans="1:11" ht="16" x14ac:dyDescent="0.2">
      <c r="A337" t="s">
        <v>662</v>
      </c>
      <c r="B337" t="s">
        <v>663</v>
      </c>
      <c r="C337" t="str">
        <f t="shared" si="26"/>
        <v>Valdez</v>
      </c>
      <c r="D337" t="str">
        <f t="shared" si="25"/>
        <v>Valdez</v>
      </c>
      <c r="E337" t="str">
        <f t="shared" si="27"/>
        <v>EC080250</v>
      </c>
      <c r="F337" t="str">
        <f>_xlfn.XLOOKUP(G337,ecu_admgz_adm2!D:D,ecu_admgz_adm2!C:C)</f>
        <v>Eloy Alfaro</v>
      </c>
      <c r="G337" t="str">
        <f t="shared" si="28"/>
        <v>EC0802</v>
      </c>
      <c r="H337" t="str">
        <f t="shared" si="29"/>
        <v>EC08</v>
      </c>
      <c r="I337" t="str">
        <f>_xlfn.XLOOKUP(H337,eci_admgz_adm1!D:D,eci_admgz_adm1!C:C)</f>
        <v>Esmeraldas</v>
      </c>
      <c r="J337" t="s">
        <v>2021</v>
      </c>
      <c r="K337" s="1" t="s">
        <v>2023</v>
      </c>
    </row>
    <row r="338" spans="1:11" ht="16" x14ac:dyDescent="0.2">
      <c r="A338" t="s">
        <v>665</v>
      </c>
      <c r="B338" t="s">
        <v>666</v>
      </c>
      <c r="C338" t="str">
        <f t="shared" si="26"/>
        <v>Anchayacu</v>
      </c>
      <c r="D338" t="str">
        <f t="shared" si="25"/>
        <v>Anchayacu</v>
      </c>
      <c r="E338" t="str">
        <f t="shared" si="27"/>
        <v>EC080251</v>
      </c>
      <c r="F338" t="str">
        <f>_xlfn.XLOOKUP(G338,ecu_admgz_adm2!D:D,ecu_admgz_adm2!C:C)</f>
        <v>Eloy Alfaro</v>
      </c>
      <c r="G338" t="str">
        <f t="shared" si="28"/>
        <v>EC0802</v>
      </c>
      <c r="H338" t="str">
        <f t="shared" si="29"/>
        <v>EC08</v>
      </c>
      <c r="I338" t="str">
        <f>_xlfn.XLOOKUP(H338,eci_admgz_adm1!D:D,eci_admgz_adm1!C:C)</f>
        <v>Esmeraldas</v>
      </c>
      <c r="J338" t="s">
        <v>2021</v>
      </c>
      <c r="K338" s="1" t="s">
        <v>2023</v>
      </c>
    </row>
    <row r="339" spans="1:11" ht="16" x14ac:dyDescent="0.2">
      <c r="A339" t="s">
        <v>667</v>
      </c>
      <c r="B339" t="s">
        <v>536</v>
      </c>
      <c r="C339" t="str">
        <f t="shared" si="26"/>
        <v>Atahualpa</v>
      </c>
      <c r="D339" t="str">
        <f t="shared" si="25"/>
        <v>Atahualpa</v>
      </c>
      <c r="E339" t="str">
        <f t="shared" si="27"/>
        <v>EC080252</v>
      </c>
      <c r="F339" t="str">
        <f>_xlfn.XLOOKUP(G339,ecu_admgz_adm2!D:D,ecu_admgz_adm2!C:C)</f>
        <v>Eloy Alfaro</v>
      </c>
      <c r="G339" t="str">
        <f t="shared" si="28"/>
        <v>EC0802</v>
      </c>
      <c r="H339" t="str">
        <f t="shared" si="29"/>
        <v>EC08</v>
      </c>
      <c r="I339" t="str">
        <f>_xlfn.XLOOKUP(H339,eci_admgz_adm1!D:D,eci_admgz_adm1!C:C)</f>
        <v>Esmeraldas</v>
      </c>
      <c r="J339" t="s">
        <v>2021</v>
      </c>
      <c r="K339" s="1" t="s">
        <v>2023</v>
      </c>
    </row>
    <row r="340" spans="1:11" ht="16" x14ac:dyDescent="0.2">
      <c r="A340" t="s">
        <v>668</v>
      </c>
      <c r="B340" t="s">
        <v>669</v>
      </c>
      <c r="C340" t="str">
        <f t="shared" si="26"/>
        <v>Borbón</v>
      </c>
      <c r="D340" t="str">
        <f t="shared" si="25"/>
        <v>Borbón</v>
      </c>
      <c r="E340" t="str">
        <f t="shared" si="27"/>
        <v>EC080253</v>
      </c>
      <c r="F340" t="str">
        <f>_xlfn.XLOOKUP(G340,ecu_admgz_adm2!D:D,ecu_admgz_adm2!C:C)</f>
        <v>Eloy Alfaro</v>
      </c>
      <c r="G340" t="str">
        <f t="shared" si="28"/>
        <v>EC0802</v>
      </c>
      <c r="H340" t="str">
        <f t="shared" si="29"/>
        <v>EC08</v>
      </c>
      <c r="I340" t="str">
        <f>_xlfn.XLOOKUP(H340,eci_admgz_adm1!D:D,eci_admgz_adm1!C:C)</f>
        <v>Esmeraldas</v>
      </c>
      <c r="J340" t="s">
        <v>2021</v>
      </c>
      <c r="K340" s="1" t="s">
        <v>2023</v>
      </c>
    </row>
    <row r="341" spans="1:11" ht="16" x14ac:dyDescent="0.2">
      <c r="A341" t="s">
        <v>670</v>
      </c>
      <c r="B341" t="s">
        <v>671</v>
      </c>
      <c r="C341" t="str">
        <f t="shared" si="26"/>
        <v>La Tola</v>
      </c>
      <c r="D341" t="str">
        <f t="shared" si="25"/>
        <v>La Tola</v>
      </c>
      <c r="E341" t="str">
        <f t="shared" si="27"/>
        <v>EC080254</v>
      </c>
      <c r="F341" t="str">
        <f>_xlfn.XLOOKUP(G341,ecu_admgz_adm2!D:D,ecu_admgz_adm2!C:C)</f>
        <v>Eloy Alfaro</v>
      </c>
      <c r="G341" t="str">
        <f t="shared" si="28"/>
        <v>EC0802</v>
      </c>
      <c r="H341" t="str">
        <f t="shared" si="29"/>
        <v>EC08</v>
      </c>
      <c r="I341" t="str">
        <f>_xlfn.XLOOKUP(H341,eci_admgz_adm1!D:D,eci_admgz_adm1!C:C)</f>
        <v>Esmeraldas</v>
      </c>
      <c r="J341" t="s">
        <v>2021</v>
      </c>
      <c r="K341" s="1" t="s">
        <v>2023</v>
      </c>
    </row>
    <row r="342" spans="1:11" ht="16" x14ac:dyDescent="0.2">
      <c r="A342" t="s">
        <v>672</v>
      </c>
      <c r="B342" t="s">
        <v>673</v>
      </c>
      <c r="C342" t="str">
        <f t="shared" si="26"/>
        <v>Luis Vargas Torres</v>
      </c>
      <c r="D342" t="str">
        <f t="shared" si="25"/>
        <v>Luis Vargas Torres</v>
      </c>
      <c r="E342" t="str">
        <f t="shared" si="27"/>
        <v>EC080255</v>
      </c>
      <c r="F342" t="str">
        <f>_xlfn.XLOOKUP(G342,ecu_admgz_adm2!D:D,ecu_admgz_adm2!C:C)</f>
        <v>Eloy Alfaro</v>
      </c>
      <c r="G342" t="str">
        <f t="shared" si="28"/>
        <v>EC0802</v>
      </c>
      <c r="H342" t="str">
        <f t="shared" si="29"/>
        <v>EC08</v>
      </c>
      <c r="I342" t="str">
        <f>_xlfn.XLOOKUP(H342,eci_admgz_adm1!D:D,eci_admgz_adm1!C:C)</f>
        <v>Esmeraldas</v>
      </c>
      <c r="J342" t="s">
        <v>2021</v>
      </c>
      <c r="K342" s="1" t="s">
        <v>2023</v>
      </c>
    </row>
    <row r="343" spans="1:11" ht="16" x14ac:dyDescent="0.2">
      <c r="A343" t="s">
        <v>674</v>
      </c>
      <c r="B343" t="s">
        <v>278</v>
      </c>
      <c r="C343" t="str">
        <f t="shared" si="26"/>
        <v>Maldonado</v>
      </c>
      <c r="D343" t="str">
        <f t="shared" si="25"/>
        <v>Maldonado</v>
      </c>
      <c r="E343" t="str">
        <f t="shared" si="27"/>
        <v>EC080256</v>
      </c>
      <c r="F343" t="str">
        <f>_xlfn.XLOOKUP(G343,ecu_admgz_adm2!D:D,ecu_admgz_adm2!C:C)</f>
        <v>Eloy Alfaro</v>
      </c>
      <c r="G343" t="str">
        <f t="shared" si="28"/>
        <v>EC0802</v>
      </c>
      <c r="H343" t="str">
        <f t="shared" si="29"/>
        <v>EC08</v>
      </c>
      <c r="I343" t="str">
        <f>_xlfn.XLOOKUP(H343,eci_admgz_adm1!D:D,eci_admgz_adm1!C:C)</f>
        <v>Esmeraldas</v>
      </c>
      <c r="J343" t="s">
        <v>2021</v>
      </c>
      <c r="K343" s="1" t="s">
        <v>2023</v>
      </c>
    </row>
    <row r="344" spans="1:11" ht="16" x14ac:dyDescent="0.2">
      <c r="A344" t="s">
        <v>675</v>
      </c>
      <c r="B344" t="s">
        <v>676</v>
      </c>
      <c r="C344" t="str">
        <f t="shared" si="26"/>
        <v>Pampanal De Bolívar</v>
      </c>
      <c r="D344" t="str">
        <f t="shared" si="25"/>
        <v>Pampanal de Bolívar</v>
      </c>
      <c r="E344" t="str">
        <f t="shared" si="27"/>
        <v>EC080257</v>
      </c>
      <c r="F344" t="str">
        <f>_xlfn.XLOOKUP(G344,ecu_admgz_adm2!D:D,ecu_admgz_adm2!C:C)</f>
        <v>Eloy Alfaro</v>
      </c>
      <c r="G344" t="str">
        <f t="shared" si="28"/>
        <v>EC0802</v>
      </c>
      <c r="H344" t="str">
        <f t="shared" si="29"/>
        <v>EC08</v>
      </c>
      <c r="I344" t="str">
        <f>_xlfn.XLOOKUP(H344,eci_admgz_adm1!D:D,eci_admgz_adm1!C:C)</f>
        <v>Esmeraldas</v>
      </c>
      <c r="J344" t="s">
        <v>2021</v>
      </c>
      <c r="K344" s="1" t="s">
        <v>2023</v>
      </c>
    </row>
    <row r="345" spans="1:11" ht="16" x14ac:dyDescent="0.2">
      <c r="A345" t="s">
        <v>677</v>
      </c>
      <c r="B345" t="s">
        <v>678</v>
      </c>
      <c r="C345" t="str">
        <f t="shared" si="26"/>
        <v>San Francisco De Onzole</v>
      </c>
      <c r="D345" t="str">
        <f t="shared" si="25"/>
        <v>San Francisco de Onzole</v>
      </c>
      <c r="E345" t="str">
        <f t="shared" si="27"/>
        <v>EC080258</v>
      </c>
      <c r="F345" t="str">
        <f>_xlfn.XLOOKUP(G345,ecu_admgz_adm2!D:D,ecu_admgz_adm2!C:C)</f>
        <v>Eloy Alfaro</v>
      </c>
      <c r="G345" t="str">
        <f t="shared" si="28"/>
        <v>EC0802</v>
      </c>
      <c r="H345" t="str">
        <f t="shared" si="29"/>
        <v>EC08</v>
      </c>
      <c r="I345" t="str">
        <f>_xlfn.XLOOKUP(H345,eci_admgz_adm1!D:D,eci_admgz_adm1!C:C)</f>
        <v>Esmeraldas</v>
      </c>
      <c r="J345" t="s">
        <v>2021</v>
      </c>
      <c r="K345" s="1" t="s">
        <v>2023</v>
      </c>
    </row>
    <row r="346" spans="1:11" ht="16" x14ac:dyDescent="0.2">
      <c r="A346" t="s">
        <v>679</v>
      </c>
      <c r="B346" t="s">
        <v>680</v>
      </c>
      <c r="C346" t="str">
        <f t="shared" si="26"/>
        <v>Santo Domingo De Onzole</v>
      </c>
      <c r="D346" t="str">
        <f t="shared" si="25"/>
        <v>Santo Domingo de Onzole</v>
      </c>
      <c r="E346" t="str">
        <f t="shared" si="27"/>
        <v>EC080259</v>
      </c>
      <c r="F346" t="str">
        <f>_xlfn.XLOOKUP(G346,ecu_admgz_adm2!D:D,ecu_admgz_adm2!C:C)</f>
        <v>Eloy Alfaro</v>
      </c>
      <c r="G346" t="str">
        <f t="shared" si="28"/>
        <v>EC0802</v>
      </c>
      <c r="H346" t="str">
        <f t="shared" si="29"/>
        <v>EC08</v>
      </c>
      <c r="I346" t="str">
        <f>_xlfn.XLOOKUP(H346,eci_admgz_adm1!D:D,eci_admgz_adm1!C:C)</f>
        <v>Esmeraldas</v>
      </c>
      <c r="J346" t="s">
        <v>2021</v>
      </c>
      <c r="K346" s="1" t="s">
        <v>2023</v>
      </c>
    </row>
    <row r="347" spans="1:11" ht="16" x14ac:dyDescent="0.2">
      <c r="A347" t="s">
        <v>681</v>
      </c>
      <c r="B347" t="s">
        <v>682</v>
      </c>
      <c r="C347" t="str">
        <f t="shared" si="26"/>
        <v>Selva Alegre</v>
      </c>
      <c r="D347" t="str">
        <f t="shared" si="25"/>
        <v>Selva Alegre</v>
      </c>
      <c r="E347" t="str">
        <f t="shared" si="27"/>
        <v>EC080260</v>
      </c>
      <c r="F347" t="str">
        <f>_xlfn.XLOOKUP(G347,ecu_admgz_adm2!D:D,ecu_admgz_adm2!C:C)</f>
        <v>Eloy Alfaro</v>
      </c>
      <c r="G347" t="str">
        <f t="shared" si="28"/>
        <v>EC0802</v>
      </c>
      <c r="H347" t="str">
        <f t="shared" si="29"/>
        <v>EC08</v>
      </c>
      <c r="I347" t="str">
        <f>_xlfn.XLOOKUP(H347,eci_admgz_adm1!D:D,eci_admgz_adm1!C:C)</f>
        <v>Esmeraldas</v>
      </c>
      <c r="J347" t="s">
        <v>2021</v>
      </c>
      <c r="K347" s="1" t="s">
        <v>2023</v>
      </c>
    </row>
    <row r="348" spans="1:11" ht="16" x14ac:dyDescent="0.2">
      <c r="A348" t="s">
        <v>683</v>
      </c>
      <c r="B348" t="s">
        <v>684</v>
      </c>
      <c r="C348" t="str">
        <f t="shared" si="26"/>
        <v>Telembí</v>
      </c>
      <c r="D348" t="str">
        <f t="shared" si="25"/>
        <v>Telembí</v>
      </c>
      <c r="E348" t="str">
        <f t="shared" si="27"/>
        <v>EC080261</v>
      </c>
      <c r="F348" t="str">
        <f>_xlfn.XLOOKUP(G348,ecu_admgz_adm2!D:D,ecu_admgz_adm2!C:C)</f>
        <v>Eloy Alfaro</v>
      </c>
      <c r="G348" t="str">
        <f t="shared" si="28"/>
        <v>EC0802</v>
      </c>
      <c r="H348" t="str">
        <f t="shared" si="29"/>
        <v>EC08</v>
      </c>
      <c r="I348" t="str">
        <f>_xlfn.XLOOKUP(H348,eci_admgz_adm1!D:D,eci_admgz_adm1!C:C)</f>
        <v>Esmeraldas</v>
      </c>
      <c r="J348" t="s">
        <v>2021</v>
      </c>
      <c r="K348" s="1" t="s">
        <v>2023</v>
      </c>
    </row>
    <row r="349" spans="1:11" ht="16" x14ac:dyDescent="0.2">
      <c r="A349" t="s">
        <v>685</v>
      </c>
      <c r="B349" t="s">
        <v>686</v>
      </c>
      <c r="C349" t="str">
        <f t="shared" si="26"/>
        <v>Colón Eloy Del María</v>
      </c>
      <c r="D349" t="str">
        <f t="shared" si="25"/>
        <v>Colón Eloy del María</v>
      </c>
      <c r="E349" t="str">
        <f t="shared" si="27"/>
        <v>EC080262</v>
      </c>
      <c r="F349" t="str">
        <f>_xlfn.XLOOKUP(G349,ecu_admgz_adm2!D:D,ecu_admgz_adm2!C:C)</f>
        <v>Eloy Alfaro</v>
      </c>
      <c r="G349" t="str">
        <f t="shared" si="28"/>
        <v>EC0802</v>
      </c>
      <c r="H349" t="str">
        <f t="shared" si="29"/>
        <v>EC08</v>
      </c>
      <c r="I349" t="str">
        <f>_xlfn.XLOOKUP(H349,eci_admgz_adm1!D:D,eci_admgz_adm1!C:C)</f>
        <v>Esmeraldas</v>
      </c>
      <c r="J349" t="s">
        <v>2021</v>
      </c>
      <c r="K349" s="1" t="s">
        <v>2023</v>
      </c>
    </row>
    <row r="350" spans="1:11" ht="16" x14ac:dyDescent="0.2">
      <c r="A350" t="s">
        <v>687</v>
      </c>
      <c r="B350" t="s">
        <v>688</v>
      </c>
      <c r="C350" t="str">
        <f t="shared" si="26"/>
        <v>San José De Cayapas</v>
      </c>
      <c r="D350" t="str">
        <f t="shared" si="25"/>
        <v>San José de Cayapas</v>
      </c>
      <c r="E350" t="str">
        <f t="shared" si="27"/>
        <v>EC080263</v>
      </c>
      <c r="F350" t="str">
        <f>_xlfn.XLOOKUP(G350,ecu_admgz_adm2!D:D,ecu_admgz_adm2!C:C)</f>
        <v>Eloy Alfaro</v>
      </c>
      <c r="G350" t="str">
        <f t="shared" si="28"/>
        <v>EC0802</v>
      </c>
      <c r="H350" t="str">
        <f t="shared" si="29"/>
        <v>EC08</v>
      </c>
      <c r="I350" t="str">
        <f>_xlfn.XLOOKUP(H350,eci_admgz_adm1!D:D,eci_admgz_adm1!C:C)</f>
        <v>Esmeraldas</v>
      </c>
      <c r="J350" t="s">
        <v>2021</v>
      </c>
      <c r="K350" s="1" t="s">
        <v>2023</v>
      </c>
    </row>
    <row r="351" spans="1:11" ht="16" x14ac:dyDescent="0.2">
      <c r="A351" t="s">
        <v>689</v>
      </c>
      <c r="B351" t="s">
        <v>690</v>
      </c>
      <c r="C351" t="str">
        <f t="shared" si="26"/>
        <v>Timbiré</v>
      </c>
      <c r="D351" t="str">
        <f t="shared" si="25"/>
        <v>Timbiré</v>
      </c>
      <c r="E351" t="str">
        <f t="shared" si="27"/>
        <v>EC080264</v>
      </c>
      <c r="F351" t="str">
        <f>_xlfn.XLOOKUP(G351,ecu_admgz_adm2!D:D,ecu_admgz_adm2!C:C)</f>
        <v>Eloy Alfaro</v>
      </c>
      <c r="G351" t="str">
        <f t="shared" si="28"/>
        <v>EC0802</v>
      </c>
      <c r="H351" t="str">
        <f t="shared" si="29"/>
        <v>EC08</v>
      </c>
      <c r="I351" t="str">
        <f>_xlfn.XLOOKUP(H351,eci_admgz_adm1!D:D,eci_admgz_adm1!C:C)</f>
        <v>Esmeraldas</v>
      </c>
      <c r="J351" t="s">
        <v>2021</v>
      </c>
      <c r="K351" s="1" t="s">
        <v>2023</v>
      </c>
    </row>
    <row r="352" spans="1:11" ht="16" x14ac:dyDescent="0.2">
      <c r="A352" t="s">
        <v>691</v>
      </c>
      <c r="B352" t="s">
        <v>692</v>
      </c>
      <c r="C352" t="str">
        <f t="shared" si="26"/>
        <v>Santa Lucía De Las Peñas</v>
      </c>
      <c r="D352" t="str">
        <f t="shared" si="25"/>
        <v>Santa Lucía de Las Peñas</v>
      </c>
      <c r="E352" t="str">
        <f t="shared" si="27"/>
        <v>EC080265</v>
      </c>
      <c r="F352" t="str">
        <f>_xlfn.XLOOKUP(G352,ecu_admgz_adm2!D:D,ecu_admgz_adm2!C:C)</f>
        <v>Eloy Alfaro</v>
      </c>
      <c r="G352" t="str">
        <f t="shared" si="28"/>
        <v>EC0802</v>
      </c>
      <c r="H352" t="str">
        <f t="shared" si="29"/>
        <v>EC08</v>
      </c>
      <c r="I352" t="str">
        <f>_xlfn.XLOOKUP(H352,eci_admgz_adm1!D:D,eci_admgz_adm1!C:C)</f>
        <v>Esmeraldas</v>
      </c>
      <c r="J352" t="s">
        <v>2021</v>
      </c>
      <c r="K352" s="1" t="s">
        <v>2023</v>
      </c>
    </row>
    <row r="353" spans="1:11" ht="16" x14ac:dyDescent="0.2">
      <c r="A353" t="s">
        <v>693</v>
      </c>
      <c r="B353" t="s">
        <v>694</v>
      </c>
      <c r="C353" t="str">
        <f t="shared" si="26"/>
        <v>Muisne</v>
      </c>
      <c r="D353" t="str">
        <f t="shared" si="25"/>
        <v>Muisne</v>
      </c>
      <c r="E353" t="str">
        <f t="shared" si="27"/>
        <v>EC080350</v>
      </c>
      <c r="F353" t="str">
        <f>_xlfn.XLOOKUP(G353,ecu_admgz_adm2!D:D,ecu_admgz_adm2!C:C)</f>
        <v>Muisne</v>
      </c>
      <c r="G353" t="str">
        <f t="shared" si="28"/>
        <v>EC0803</v>
      </c>
      <c r="H353" t="str">
        <f t="shared" si="29"/>
        <v>EC08</v>
      </c>
      <c r="I353" t="str">
        <f>_xlfn.XLOOKUP(H353,eci_admgz_adm1!D:D,eci_admgz_adm1!C:C)</f>
        <v>Esmeraldas</v>
      </c>
      <c r="J353" t="s">
        <v>2021</v>
      </c>
      <c r="K353" s="1" t="s">
        <v>2023</v>
      </c>
    </row>
    <row r="354" spans="1:11" ht="16" x14ac:dyDescent="0.2">
      <c r="A354" t="s">
        <v>695</v>
      </c>
      <c r="B354" t="s">
        <v>156</v>
      </c>
      <c r="C354" t="str">
        <f t="shared" si="26"/>
        <v>Bolívar</v>
      </c>
      <c r="D354" t="str">
        <f t="shared" si="25"/>
        <v>Bolívar</v>
      </c>
      <c r="E354" t="str">
        <f t="shared" si="27"/>
        <v>EC080351</v>
      </c>
      <c r="F354" t="str">
        <f>_xlfn.XLOOKUP(G354,ecu_admgz_adm2!D:D,ecu_admgz_adm2!C:C)</f>
        <v>Muisne</v>
      </c>
      <c r="G354" t="str">
        <f t="shared" si="28"/>
        <v>EC0803</v>
      </c>
      <c r="H354" t="str">
        <f t="shared" si="29"/>
        <v>EC08</v>
      </c>
      <c r="I354" t="str">
        <f>_xlfn.XLOOKUP(H354,eci_admgz_adm1!D:D,eci_admgz_adm1!C:C)</f>
        <v>Esmeraldas</v>
      </c>
      <c r="J354" t="s">
        <v>2021</v>
      </c>
      <c r="K354" s="1" t="s">
        <v>2023</v>
      </c>
    </row>
    <row r="355" spans="1:11" ht="16" x14ac:dyDescent="0.2">
      <c r="A355" t="s">
        <v>696</v>
      </c>
      <c r="B355" t="s">
        <v>697</v>
      </c>
      <c r="C355" t="str">
        <f t="shared" si="26"/>
        <v>Daule</v>
      </c>
      <c r="D355" t="str">
        <f t="shared" si="25"/>
        <v>Daule</v>
      </c>
      <c r="E355" t="str">
        <f t="shared" si="27"/>
        <v>EC080352</v>
      </c>
      <c r="F355" t="str">
        <f>_xlfn.XLOOKUP(G355,ecu_admgz_adm2!D:D,ecu_admgz_adm2!C:C)</f>
        <v>Muisne</v>
      </c>
      <c r="G355" t="str">
        <f t="shared" si="28"/>
        <v>EC0803</v>
      </c>
      <c r="H355" t="str">
        <f t="shared" si="29"/>
        <v>EC08</v>
      </c>
      <c r="I355" t="str">
        <f>_xlfn.XLOOKUP(H355,eci_admgz_adm1!D:D,eci_admgz_adm1!C:C)</f>
        <v>Esmeraldas</v>
      </c>
      <c r="J355" t="s">
        <v>2021</v>
      </c>
      <c r="K355" s="1" t="s">
        <v>2023</v>
      </c>
    </row>
    <row r="356" spans="1:11" ht="16" x14ac:dyDescent="0.2">
      <c r="A356" t="s">
        <v>698</v>
      </c>
      <c r="B356" t="s">
        <v>699</v>
      </c>
      <c r="C356" t="str">
        <f t="shared" si="26"/>
        <v>Galera</v>
      </c>
      <c r="D356" t="str">
        <f t="shared" si="25"/>
        <v>Galera</v>
      </c>
      <c r="E356" t="str">
        <f t="shared" si="27"/>
        <v>EC080353</v>
      </c>
      <c r="F356" t="str">
        <f>_xlfn.XLOOKUP(G356,ecu_admgz_adm2!D:D,ecu_admgz_adm2!C:C)</f>
        <v>Muisne</v>
      </c>
      <c r="G356" t="str">
        <f t="shared" si="28"/>
        <v>EC0803</v>
      </c>
      <c r="H356" t="str">
        <f t="shared" si="29"/>
        <v>EC08</v>
      </c>
      <c r="I356" t="str">
        <f>_xlfn.XLOOKUP(H356,eci_admgz_adm1!D:D,eci_admgz_adm1!C:C)</f>
        <v>Esmeraldas</v>
      </c>
      <c r="J356" t="s">
        <v>2021</v>
      </c>
      <c r="K356" s="1" t="s">
        <v>2023</v>
      </c>
    </row>
    <row r="357" spans="1:11" ht="16" x14ac:dyDescent="0.2">
      <c r="A357" t="s">
        <v>700</v>
      </c>
      <c r="B357" t="s">
        <v>701</v>
      </c>
      <c r="C357" t="str">
        <f t="shared" si="26"/>
        <v>Quingue</v>
      </c>
      <c r="D357" t="str">
        <f t="shared" si="25"/>
        <v>Quingue</v>
      </c>
      <c r="E357" t="str">
        <f t="shared" si="27"/>
        <v>EC080354</v>
      </c>
      <c r="F357" t="str">
        <f>_xlfn.XLOOKUP(G357,ecu_admgz_adm2!D:D,ecu_admgz_adm2!C:C)</f>
        <v>Muisne</v>
      </c>
      <c r="G357" t="str">
        <f t="shared" si="28"/>
        <v>EC0803</v>
      </c>
      <c r="H357" t="str">
        <f t="shared" si="29"/>
        <v>EC08</v>
      </c>
      <c r="I357" t="str">
        <f>_xlfn.XLOOKUP(H357,eci_admgz_adm1!D:D,eci_admgz_adm1!C:C)</f>
        <v>Esmeraldas</v>
      </c>
      <c r="J357" t="s">
        <v>2021</v>
      </c>
      <c r="K357" s="1" t="s">
        <v>2023</v>
      </c>
    </row>
    <row r="358" spans="1:11" ht="16" x14ac:dyDescent="0.2">
      <c r="A358" t="s">
        <v>702</v>
      </c>
      <c r="B358" t="s">
        <v>703</v>
      </c>
      <c r="C358" t="str">
        <f t="shared" si="26"/>
        <v>Sálima</v>
      </c>
      <c r="D358" t="str">
        <f t="shared" si="25"/>
        <v>Sálima</v>
      </c>
      <c r="E358" t="str">
        <f t="shared" si="27"/>
        <v>EC080355</v>
      </c>
      <c r="F358" t="str">
        <f>_xlfn.XLOOKUP(G358,ecu_admgz_adm2!D:D,ecu_admgz_adm2!C:C)</f>
        <v>Muisne</v>
      </c>
      <c r="G358" t="str">
        <f t="shared" si="28"/>
        <v>EC0803</v>
      </c>
      <c r="H358" t="str">
        <f t="shared" si="29"/>
        <v>EC08</v>
      </c>
      <c r="I358" t="str">
        <f>_xlfn.XLOOKUP(H358,eci_admgz_adm1!D:D,eci_admgz_adm1!C:C)</f>
        <v>Esmeraldas</v>
      </c>
      <c r="J358" t="s">
        <v>2021</v>
      </c>
      <c r="K358" s="1" t="s">
        <v>2023</v>
      </c>
    </row>
    <row r="359" spans="1:11" ht="16" x14ac:dyDescent="0.2">
      <c r="A359" t="s">
        <v>704</v>
      </c>
      <c r="B359" t="s">
        <v>705</v>
      </c>
      <c r="C359" t="str">
        <f t="shared" si="26"/>
        <v>San Francisco</v>
      </c>
      <c r="D359" t="str">
        <f t="shared" si="25"/>
        <v>San Francisco</v>
      </c>
      <c r="E359" t="str">
        <f t="shared" si="27"/>
        <v>EC080356</v>
      </c>
      <c r="F359" t="str">
        <f>_xlfn.XLOOKUP(G359,ecu_admgz_adm2!D:D,ecu_admgz_adm2!C:C)</f>
        <v>Muisne</v>
      </c>
      <c r="G359" t="str">
        <f t="shared" si="28"/>
        <v>EC0803</v>
      </c>
      <c r="H359" t="str">
        <f t="shared" si="29"/>
        <v>EC08</v>
      </c>
      <c r="I359" t="str">
        <f>_xlfn.XLOOKUP(H359,eci_admgz_adm1!D:D,eci_admgz_adm1!C:C)</f>
        <v>Esmeraldas</v>
      </c>
      <c r="J359" t="s">
        <v>2021</v>
      </c>
      <c r="K359" s="1" t="s">
        <v>2023</v>
      </c>
    </row>
    <row r="360" spans="1:11" ht="16" x14ac:dyDescent="0.2">
      <c r="A360" t="s">
        <v>706</v>
      </c>
      <c r="B360" t="s">
        <v>707</v>
      </c>
      <c r="C360" t="str">
        <f t="shared" si="26"/>
        <v>San Gregorio</v>
      </c>
      <c r="D360" t="str">
        <f t="shared" si="25"/>
        <v>San Gregorio</v>
      </c>
      <c r="E360" t="str">
        <f t="shared" si="27"/>
        <v>EC080357</v>
      </c>
      <c r="F360" t="str">
        <f>_xlfn.XLOOKUP(G360,ecu_admgz_adm2!D:D,ecu_admgz_adm2!C:C)</f>
        <v>Muisne</v>
      </c>
      <c r="G360" t="str">
        <f t="shared" si="28"/>
        <v>EC0803</v>
      </c>
      <c r="H360" t="str">
        <f t="shared" si="29"/>
        <v>EC08</v>
      </c>
      <c r="I360" t="str">
        <f>_xlfn.XLOOKUP(H360,eci_admgz_adm1!D:D,eci_admgz_adm1!C:C)</f>
        <v>Esmeraldas</v>
      </c>
      <c r="J360" t="s">
        <v>2021</v>
      </c>
      <c r="K360" s="1" t="s">
        <v>2023</v>
      </c>
    </row>
    <row r="361" spans="1:11" ht="16" x14ac:dyDescent="0.2">
      <c r="A361" t="s">
        <v>708</v>
      </c>
      <c r="B361" t="s">
        <v>709</v>
      </c>
      <c r="C361" t="str">
        <f t="shared" si="26"/>
        <v>San José De Chamanga</v>
      </c>
      <c r="D361" t="str">
        <f t="shared" si="25"/>
        <v>San José de Chamanga</v>
      </c>
      <c r="E361" t="str">
        <f t="shared" si="27"/>
        <v>EC080358</v>
      </c>
      <c r="F361" t="str">
        <f>_xlfn.XLOOKUP(G361,ecu_admgz_adm2!D:D,ecu_admgz_adm2!C:C)</f>
        <v>Muisne</v>
      </c>
      <c r="G361" t="str">
        <f t="shared" si="28"/>
        <v>EC0803</v>
      </c>
      <c r="H361" t="str">
        <f t="shared" si="29"/>
        <v>EC08</v>
      </c>
      <c r="I361" t="str">
        <f>_xlfn.XLOOKUP(H361,eci_admgz_adm1!D:D,eci_admgz_adm1!C:C)</f>
        <v>Esmeraldas</v>
      </c>
      <c r="J361" t="s">
        <v>2021</v>
      </c>
      <c r="K361" s="1" t="s">
        <v>2023</v>
      </c>
    </row>
    <row r="362" spans="1:11" ht="16" x14ac:dyDescent="0.2">
      <c r="A362" t="s">
        <v>710</v>
      </c>
      <c r="B362" t="s">
        <v>711</v>
      </c>
      <c r="C362" t="str">
        <f t="shared" si="26"/>
        <v>Rosa Zárate</v>
      </c>
      <c r="D362" t="str">
        <f t="shared" si="25"/>
        <v>Rosa Zárate</v>
      </c>
      <c r="E362" t="str">
        <f t="shared" si="27"/>
        <v>EC080450</v>
      </c>
      <c r="F362" t="str">
        <f>_xlfn.XLOOKUP(G362,ecu_admgz_adm2!D:D,ecu_admgz_adm2!C:C)</f>
        <v>Quinindé</v>
      </c>
      <c r="G362" t="str">
        <f t="shared" si="28"/>
        <v>EC0804</v>
      </c>
      <c r="H362" t="str">
        <f t="shared" si="29"/>
        <v>EC08</v>
      </c>
      <c r="I362" t="str">
        <f>_xlfn.XLOOKUP(H362,eci_admgz_adm1!D:D,eci_admgz_adm1!C:C)</f>
        <v>Esmeraldas</v>
      </c>
      <c r="J362" t="s">
        <v>2021</v>
      </c>
      <c r="K362" s="1" t="s">
        <v>2023</v>
      </c>
    </row>
    <row r="363" spans="1:11" ht="16" x14ac:dyDescent="0.2">
      <c r="A363" t="s">
        <v>712</v>
      </c>
      <c r="B363" t="s">
        <v>713</v>
      </c>
      <c r="C363" t="str">
        <f t="shared" si="26"/>
        <v>Cube</v>
      </c>
      <c r="D363" t="str">
        <f t="shared" si="25"/>
        <v>Cube</v>
      </c>
      <c r="E363" t="str">
        <f t="shared" si="27"/>
        <v>EC080451</v>
      </c>
      <c r="F363" t="str">
        <f>_xlfn.XLOOKUP(G363,ecu_admgz_adm2!D:D,ecu_admgz_adm2!C:C)</f>
        <v>Quinindé</v>
      </c>
      <c r="G363" t="str">
        <f t="shared" si="28"/>
        <v>EC0804</v>
      </c>
      <c r="H363" t="str">
        <f t="shared" si="29"/>
        <v>EC08</v>
      </c>
      <c r="I363" t="str">
        <f>_xlfn.XLOOKUP(H363,eci_admgz_adm1!D:D,eci_admgz_adm1!C:C)</f>
        <v>Esmeraldas</v>
      </c>
      <c r="J363" t="s">
        <v>2021</v>
      </c>
      <c r="K363" s="1" t="s">
        <v>2023</v>
      </c>
    </row>
    <row r="364" spans="1:11" ht="16" x14ac:dyDescent="0.2">
      <c r="A364" t="s">
        <v>714</v>
      </c>
      <c r="B364" t="s">
        <v>715</v>
      </c>
      <c r="C364" t="str">
        <f t="shared" si="26"/>
        <v>Chura</v>
      </c>
      <c r="D364" t="str">
        <f t="shared" si="25"/>
        <v>Chura</v>
      </c>
      <c r="E364" t="str">
        <f t="shared" si="27"/>
        <v>EC080452</v>
      </c>
      <c r="F364" t="str">
        <f>_xlfn.XLOOKUP(G364,ecu_admgz_adm2!D:D,ecu_admgz_adm2!C:C)</f>
        <v>Quinindé</v>
      </c>
      <c r="G364" t="str">
        <f t="shared" si="28"/>
        <v>EC0804</v>
      </c>
      <c r="H364" t="str">
        <f t="shared" si="29"/>
        <v>EC08</v>
      </c>
      <c r="I364" t="str">
        <f>_xlfn.XLOOKUP(H364,eci_admgz_adm1!D:D,eci_admgz_adm1!C:C)</f>
        <v>Esmeraldas</v>
      </c>
      <c r="J364" t="s">
        <v>2021</v>
      </c>
      <c r="K364" s="1" t="s">
        <v>2023</v>
      </c>
    </row>
    <row r="365" spans="1:11" ht="16" x14ac:dyDescent="0.2">
      <c r="A365" t="s">
        <v>716</v>
      </c>
      <c r="B365" t="s">
        <v>717</v>
      </c>
      <c r="C365" t="str">
        <f t="shared" si="26"/>
        <v>Malimpia</v>
      </c>
      <c r="D365" t="str">
        <f t="shared" si="25"/>
        <v>Malimpia</v>
      </c>
      <c r="E365" t="str">
        <f t="shared" si="27"/>
        <v>EC080453</v>
      </c>
      <c r="F365" t="str">
        <f>_xlfn.XLOOKUP(G365,ecu_admgz_adm2!D:D,ecu_admgz_adm2!C:C)</f>
        <v>Quinindé</v>
      </c>
      <c r="G365" t="str">
        <f t="shared" si="28"/>
        <v>EC0804</v>
      </c>
      <c r="H365" t="str">
        <f t="shared" si="29"/>
        <v>EC08</v>
      </c>
      <c r="I365" t="str">
        <f>_xlfn.XLOOKUP(H365,eci_admgz_adm1!D:D,eci_admgz_adm1!C:C)</f>
        <v>Esmeraldas</v>
      </c>
      <c r="J365" t="s">
        <v>2021</v>
      </c>
      <c r="K365" s="1" t="s">
        <v>2023</v>
      </c>
    </row>
    <row r="366" spans="1:11" ht="16" x14ac:dyDescent="0.2">
      <c r="A366" t="s">
        <v>718</v>
      </c>
      <c r="B366" t="s">
        <v>719</v>
      </c>
      <c r="C366" t="str">
        <f t="shared" si="26"/>
        <v>Viche</v>
      </c>
      <c r="D366" t="str">
        <f t="shared" si="25"/>
        <v>Viche</v>
      </c>
      <c r="E366" t="str">
        <f t="shared" si="27"/>
        <v>EC080454</v>
      </c>
      <c r="F366" t="str">
        <f>_xlfn.XLOOKUP(G366,ecu_admgz_adm2!D:D,ecu_admgz_adm2!C:C)</f>
        <v>Quinindé</v>
      </c>
      <c r="G366" t="str">
        <f t="shared" si="28"/>
        <v>EC0804</v>
      </c>
      <c r="H366" t="str">
        <f t="shared" si="29"/>
        <v>EC08</v>
      </c>
      <c r="I366" t="str">
        <f>_xlfn.XLOOKUP(H366,eci_admgz_adm1!D:D,eci_admgz_adm1!C:C)</f>
        <v>Esmeraldas</v>
      </c>
      <c r="J366" t="s">
        <v>2021</v>
      </c>
      <c r="K366" s="1" t="s">
        <v>2023</v>
      </c>
    </row>
    <row r="367" spans="1:11" ht="16" x14ac:dyDescent="0.2">
      <c r="A367" t="s">
        <v>720</v>
      </c>
      <c r="B367" t="s">
        <v>135</v>
      </c>
      <c r="C367" t="str">
        <f t="shared" si="26"/>
        <v>La Unión</v>
      </c>
      <c r="D367" t="str">
        <f t="shared" si="25"/>
        <v>La Unión</v>
      </c>
      <c r="E367" t="str">
        <f t="shared" si="27"/>
        <v>EC080455</v>
      </c>
      <c r="F367" t="str">
        <f>_xlfn.XLOOKUP(G367,ecu_admgz_adm2!D:D,ecu_admgz_adm2!C:C)</f>
        <v>Quinindé</v>
      </c>
      <c r="G367" t="str">
        <f t="shared" si="28"/>
        <v>EC0804</v>
      </c>
      <c r="H367" t="str">
        <f t="shared" si="29"/>
        <v>EC08</v>
      </c>
      <c r="I367" t="str">
        <f>_xlfn.XLOOKUP(H367,eci_admgz_adm1!D:D,eci_admgz_adm1!C:C)</f>
        <v>Esmeraldas</v>
      </c>
      <c r="J367" t="s">
        <v>2021</v>
      </c>
      <c r="K367" s="1" t="s">
        <v>2023</v>
      </c>
    </row>
    <row r="368" spans="1:11" ht="16" x14ac:dyDescent="0.2">
      <c r="A368" t="s">
        <v>721</v>
      </c>
      <c r="B368" t="s">
        <v>164</v>
      </c>
      <c r="C368" t="str">
        <f t="shared" si="26"/>
        <v>San Lorenzo</v>
      </c>
      <c r="D368" t="str">
        <f t="shared" si="25"/>
        <v>San Lorenzo</v>
      </c>
      <c r="E368" t="str">
        <f t="shared" si="27"/>
        <v>EC080550</v>
      </c>
      <c r="F368" t="str">
        <f>_xlfn.XLOOKUP(G368,ecu_admgz_adm2!D:D,ecu_admgz_adm2!C:C)</f>
        <v>San Lorenzo</v>
      </c>
      <c r="G368" t="str">
        <f t="shared" si="28"/>
        <v>EC0805</v>
      </c>
      <c r="H368" t="str">
        <f t="shared" si="29"/>
        <v>EC08</v>
      </c>
      <c r="I368" t="str">
        <f>_xlfn.XLOOKUP(H368,eci_admgz_adm1!D:D,eci_admgz_adm1!C:C)</f>
        <v>Esmeraldas</v>
      </c>
      <c r="J368" t="s">
        <v>2021</v>
      </c>
      <c r="K368" s="1" t="s">
        <v>2023</v>
      </c>
    </row>
    <row r="369" spans="1:11" ht="16" x14ac:dyDescent="0.2">
      <c r="A369" t="s">
        <v>722</v>
      </c>
      <c r="B369" t="s">
        <v>723</v>
      </c>
      <c r="C369" t="str">
        <f t="shared" si="26"/>
        <v>Alto Tambo</v>
      </c>
      <c r="D369" t="str">
        <f t="shared" si="25"/>
        <v>Alto Tambo</v>
      </c>
      <c r="E369" t="str">
        <f t="shared" si="27"/>
        <v>EC080551</v>
      </c>
      <c r="F369" t="str">
        <f>_xlfn.XLOOKUP(G369,ecu_admgz_adm2!D:D,ecu_admgz_adm2!C:C)</f>
        <v>San Lorenzo</v>
      </c>
      <c r="G369" t="str">
        <f t="shared" si="28"/>
        <v>EC0805</v>
      </c>
      <c r="H369" t="str">
        <f t="shared" si="29"/>
        <v>EC08</v>
      </c>
      <c r="I369" t="str">
        <f>_xlfn.XLOOKUP(H369,eci_admgz_adm1!D:D,eci_admgz_adm1!C:C)</f>
        <v>Esmeraldas</v>
      </c>
      <c r="J369" t="s">
        <v>2021</v>
      </c>
      <c r="K369" s="1" t="s">
        <v>2023</v>
      </c>
    </row>
    <row r="370" spans="1:11" ht="16" x14ac:dyDescent="0.2">
      <c r="A370" t="s">
        <v>724</v>
      </c>
      <c r="B370" t="s">
        <v>725</v>
      </c>
      <c r="C370" t="str">
        <f t="shared" si="26"/>
        <v>Ancón</v>
      </c>
      <c r="D370" t="str">
        <f t="shared" si="25"/>
        <v>Ancón</v>
      </c>
      <c r="E370" t="str">
        <f t="shared" si="27"/>
        <v>EC080552</v>
      </c>
      <c r="F370" t="str">
        <f>_xlfn.XLOOKUP(G370,ecu_admgz_adm2!D:D,ecu_admgz_adm2!C:C)</f>
        <v>San Lorenzo</v>
      </c>
      <c r="G370" t="str">
        <f t="shared" si="28"/>
        <v>EC0805</v>
      </c>
      <c r="H370" t="str">
        <f t="shared" si="29"/>
        <v>EC08</v>
      </c>
      <c r="I370" t="str">
        <f>_xlfn.XLOOKUP(H370,eci_admgz_adm1!D:D,eci_admgz_adm1!C:C)</f>
        <v>Esmeraldas</v>
      </c>
      <c r="J370" t="s">
        <v>2021</v>
      </c>
      <c r="K370" s="1" t="s">
        <v>2023</v>
      </c>
    </row>
    <row r="371" spans="1:11" ht="16" x14ac:dyDescent="0.2">
      <c r="A371" t="s">
        <v>726</v>
      </c>
      <c r="B371" t="s">
        <v>727</v>
      </c>
      <c r="C371" t="str">
        <f t="shared" si="26"/>
        <v>Calderón</v>
      </c>
      <c r="D371" t="str">
        <f t="shared" si="25"/>
        <v>Calderón</v>
      </c>
      <c r="E371" t="str">
        <f t="shared" si="27"/>
        <v>EC080553</v>
      </c>
      <c r="F371" t="str">
        <f>_xlfn.XLOOKUP(G371,ecu_admgz_adm2!D:D,ecu_admgz_adm2!C:C)</f>
        <v>San Lorenzo</v>
      </c>
      <c r="G371" t="str">
        <f t="shared" si="28"/>
        <v>EC0805</v>
      </c>
      <c r="H371" t="str">
        <f t="shared" si="29"/>
        <v>EC08</v>
      </c>
      <c r="I371" t="str">
        <f>_xlfn.XLOOKUP(H371,eci_admgz_adm1!D:D,eci_admgz_adm1!C:C)</f>
        <v>Esmeraldas</v>
      </c>
      <c r="J371" t="s">
        <v>2021</v>
      </c>
      <c r="K371" s="1" t="s">
        <v>2023</v>
      </c>
    </row>
    <row r="372" spans="1:11" ht="16" x14ac:dyDescent="0.2">
      <c r="A372" t="s">
        <v>728</v>
      </c>
      <c r="B372" t="s">
        <v>729</v>
      </c>
      <c r="C372" t="str">
        <f t="shared" si="26"/>
        <v>Carondelet</v>
      </c>
      <c r="D372" t="str">
        <f t="shared" si="25"/>
        <v>Carondelet</v>
      </c>
      <c r="E372" t="str">
        <f t="shared" si="27"/>
        <v>EC080554</v>
      </c>
      <c r="F372" t="str">
        <f>_xlfn.XLOOKUP(G372,ecu_admgz_adm2!D:D,ecu_admgz_adm2!C:C)</f>
        <v>San Lorenzo</v>
      </c>
      <c r="G372" t="str">
        <f t="shared" si="28"/>
        <v>EC0805</v>
      </c>
      <c r="H372" t="str">
        <f t="shared" si="29"/>
        <v>EC08</v>
      </c>
      <c r="I372" t="str">
        <f>_xlfn.XLOOKUP(H372,eci_admgz_adm1!D:D,eci_admgz_adm1!C:C)</f>
        <v>Esmeraldas</v>
      </c>
      <c r="J372" t="s">
        <v>2021</v>
      </c>
      <c r="K372" s="1" t="s">
        <v>2023</v>
      </c>
    </row>
    <row r="373" spans="1:11" ht="16" x14ac:dyDescent="0.2">
      <c r="A373" t="s">
        <v>730</v>
      </c>
      <c r="B373" t="s">
        <v>731</v>
      </c>
      <c r="C373" t="str">
        <f t="shared" si="26"/>
        <v>5 De Junio</v>
      </c>
      <c r="D373" t="str">
        <f t="shared" si="25"/>
        <v>5 de Junio</v>
      </c>
      <c r="E373" t="str">
        <f t="shared" si="27"/>
        <v>EC080555</v>
      </c>
      <c r="F373" t="str">
        <f>_xlfn.XLOOKUP(G373,ecu_admgz_adm2!D:D,ecu_admgz_adm2!C:C)</f>
        <v>San Lorenzo</v>
      </c>
      <c r="G373" t="str">
        <f t="shared" si="28"/>
        <v>EC0805</v>
      </c>
      <c r="H373" t="str">
        <f t="shared" si="29"/>
        <v>EC08</v>
      </c>
      <c r="I373" t="str">
        <f>_xlfn.XLOOKUP(H373,eci_admgz_adm1!D:D,eci_admgz_adm1!C:C)</f>
        <v>Esmeraldas</v>
      </c>
      <c r="J373" t="s">
        <v>2021</v>
      </c>
      <c r="K373" s="1" t="s">
        <v>2023</v>
      </c>
    </row>
    <row r="374" spans="1:11" ht="16" x14ac:dyDescent="0.2">
      <c r="A374" t="s">
        <v>732</v>
      </c>
      <c r="B374" t="s">
        <v>313</v>
      </c>
      <c r="C374" t="str">
        <f t="shared" si="26"/>
        <v>Concepción</v>
      </c>
      <c r="D374" t="str">
        <f t="shared" si="25"/>
        <v>Concepción</v>
      </c>
      <c r="E374" t="str">
        <f t="shared" si="27"/>
        <v>EC080556</v>
      </c>
      <c r="F374" t="str">
        <f>_xlfn.XLOOKUP(G374,ecu_admgz_adm2!D:D,ecu_admgz_adm2!C:C)</f>
        <v>San Lorenzo</v>
      </c>
      <c r="G374" t="str">
        <f t="shared" si="28"/>
        <v>EC0805</v>
      </c>
      <c r="H374" t="str">
        <f t="shared" si="29"/>
        <v>EC08</v>
      </c>
      <c r="I374" t="str">
        <f>_xlfn.XLOOKUP(H374,eci_admgz_adm1!D:D,eci_admgz_adm1!C:C)</f>
        <v>Esmeraldas</v>
      </c>
      <c r="J374" t="s">
        <v>2021</v>
      </c>
      <c r="K374" s="1" t="s">
        <v>2023</v>
      </c>
    </row>
    <row r="375" spans="1:11" ht="16" x14ac:dyDescent="0.2">
      <c r="A375" t="s">
        <v>733</v>
      </c>
      <c r="B375" t="s">
        <v>734</v>
      </c>
      <c r="C375" t="str">
        <f t="shared" si="26"/>
        <v>Mataje</v>
      </c>
      <c r="D375" t="str">
        <f t="shared" si="25"/>
        <v>Mataje</v>
      </c>
      <c r="E375" t="str">
        <f t="shared" si="27"/>
        <v>EC080557</v>
      </c>
      <c r="F375" t="str">
        <f>_xlfn.XLOOKUP(G375,ecu_admgz_adm2!D:D,ecu_admgz_adm2!C:C)</f>
        <v>San Lorenzo</v>
      </c>
      <c r="G375" t="str">
        <f t="shared" si="28"/>
        <v>EC0805</v>
      </c>
      <c r="H375" t="str">
        <f t="shared" si="29"/>
        <v>EC08</v>
      </c>
      <c r="I375" t="str">
        <f>_xlfn.XLOOKUP(H375,eci_admgz_adm1!D:D,eci_admgz_adm1!C:C)</f>
        <v>Esmeraldas</v>
      </c>
      <c r="J375" t="s">
        <v>2021</v>
      </c>
      <c r="K375" s="1" t="s">
        <v>2023</v>
      </c>
    </row>
    <row r="376" spans="1:11" ht="16" x14ac:dyDescent="0.2">
      <c r="A376" t="s">
        <v>735</v>
      </c>
      <c r="B376" t="s">
        <v>736</v>
      </c>
      <c r="C376" t="str">
        <f t="shared" si="26"/>
        <v>San Javier De Cachaví</v>
      </c>
      <c r="D376" t="str">
        <f t="shared" si="25"/>
        <v>San Javier de Cachaví</v>
      </c>
      <c r="E376" t="str">
        <f t="shared" si="27"/>
        <v>EC080558</v>
      </c>
      <c r="F376" t="str">
        <f>_xlfn.XLOOKUP(G376,ecu_admgz_adm2!D:D,ecu_admgz_adm2!C:C)</f>
        <v>San Lorenzo</v>
      </c>
      <c r="G376" t="str">
        <f t="shared" si="28"/>
        <v>EC0805</v>
      </c>
      <c r="H376" t="str">
        <f t="shared" si="29"/>
        <v>EC08</v>
      </c>
      <c r="I376" t="str">
        <f>_xlfn.XLOOKUP(H376,eci_admgz_adm1!D:D,eci_admgz_adm1!C:C)</f>
        <v>Esmeraldas</v>
      </c>
      <c r="J376" t="s">
        <v>2021</v>
      </c>
      <c r="K376" s="1" t="s">
        <v>2023</v>
      </c>
    </row>
    <row r="377" spans="1:11" ht="16" x14ac:dyDescent="0.2">
      <c r="A377" t="s">
        <v>737</v>
      </c>
      <c r="B377" t="s">
        <v>738</v>
      </c>
      <c r="C377" t="str">
        <f t="shared" si="26"/>
        <v>Santa Rita</v>
      </c>
      <c r="D377" t="str">
        <f t="shared" si="25"/>
        <v>Santa Rita</v>
      </c>
      <c r="E377" t="str">
        <f t="shared" si="27"/>
        <v>EC080559</v>
      </c>
      <c r="F377" t="str">
        <f>_xlfn.XLOOKUP(G377,ecu_admgz_adm2!D:D,ecu_admgz_adm2!C:C)</f>
        <v>San Lorenzo</v>
      </c>
      <c r="G377" t="str">
        <f t="shared" si="28"/>
        <v>EC0805</v>
      </c>
      <c r="H377" t="str">
        <f t="shared" si="29"/>
        <v>EC08</v>
      </c>
      <c r="I377" t="str">
        <f>_xlfn.XLOOKUP(H377,eci_admgz_adm1!D:D,eci_admgz_adm1!C:C)</f>
        <v>Esmeraldas</v>
      </c>
      <c r="J377" t="s">
        <v>2021</v>
      </c>
      <c r="K377" s="1" t="s">
        <v>2023</v>
      </c>
    </row>
    <row r="378" spans="1:11" ht="16" x14ac:dyDescent="0.2">
      <c r="A378" t="s">
        <v>739</v>
      </c>
      <c r="B378" t="s">
        <v>740</v>
      </c>
      <c r="C378" t="str">
        <f t="shared" si="26"/>
        <v>Tambillo</v>
      </c>
      <c r="D378" t="str">
        <f t="shared" si="25"/>
        <v>Tambillo</v>
      </c>
      <c r="E378" t="str">
        <f t="shared" si="27"/>
        <v>EC080560</v>
      </c>
      <c r="F378" t="str">
        <f>_xlfn.XLOOKUP(G378,ecu_admgz_adm2!D:D,ecu_admgz_adm2!C:C)</f>
        <v>San Lorenzo</v>
      </c>
      <c r="G378" t="str">
        <f t="shared" si="28"/>
        <v>EC0805</v>
      </c>
      <c r="H378" t="str">
        <f t="shared" si="29"/>
        <v>EC08</v>
      </c>
      <c r="I378" t="str">
        <f>_xlfn.XLOOKUP(H378,eci_admgz_adm1!D:D,eci_admgz_adm1!C:C)</f>
        <v>Esmeraldas</v>
      </c>
      <c r="J378" t="s">
        <v>2021</v>
      </c>
      <c r="K378" s="1" t="s">
        <v>2023</v>
      </c>
    </row>
    <row r="379" spans="1:11" ht="16" x14ac:dyDescent="0.2">
      <c r="A379" t="s">
        <v>741</v>
      </c>
      <c r="B379" t="s">
        <v>742</v>
      </c>
      <c r="C379" t="str">
        <f t="shared" si="26"/>
        <v>Tululbí</v>
      </c>
      <c r="D379" t="str">
        <f t="shared" si="25"/>
        <v>Tululbí</v>
      </c>
      <c r="E379" t="str">
        <f t="shared" si="27"/>
        <v>EC080561</v>
      </c>
      <c r="F379" t="str">
        <f>_xlfn.XLOOKUP(G379,ecu_admgz_adm2!D:D,ecu_admgz_adm2!C:C)</f>
        <v>San Lorenzo</v>
      </c>
      <c r="G379" t="str">
        <f t="shared" si="28"/>
        <v>EC0805</v>
      </c>
      <c r="H379" t="str">
        <f t="shared" si="29"/>
        <v>EC08</v>
      </c>
      <c r="I379" t="str">
        <f>_xlfn.XLOOKUP(H379,eci_admgz_adm1!D:D,eci_admgz_adm1!C:C)</f>
        <v>Esmeraldas</v>
      </c>
      <c r="J379" t="s">
        <v>2021</v>
      </c>
      <c r="K379" s="1" t="s">
        <v>2023</v>
      </c>
    </row>
    <row r="380" spans="1:11" ht="16" x14ac:dyDescent="0.2">
      <c r="A380" t="s">
        <v>743</v>
      </c>
      <c r="B380" t="s">
        <v>286</v>
      </c>
      <c r="C380" t="str">
        <f t="shared" si="26"/>
        <v>Urbina</v>
      </c>
      <c r="D380" t="str">
        <f t="shared" si="25"/>
        <v>Urbina</v>
      </c>
      <c r="E380" t="str">
        <f t="shared" si="27"/>
        <v>EC080562</v>
      </c>
      <c r="F380" t="str">
        <f>_xlfn.XLOOKUP(G380,ecu_admgz_adm2!D:D,ecu_admgz_adm2!C:C)</f>
        <v>San Lorenzo</v>
      </c>
      <c r="G380" t="str">
        <f t="shared" si="28"/>
        <v>EC0805</v>
      </c>
      <c r="H380" t="str">
        <f t="shared" si="29"/>
        <v>EC08</v>
      </c>
      <c r="I380" t="str">
        <f>_xlfn.XLOOKUP(H380,eci_admgz_adm1!D:D,eci_admgz_adm1!C:C)</f>
        <v>Esmeraldas</v>
      </c>
      <c r="J380" t="s">
        <v>2021</v>
      </c>
      <c r="K380" s="1" t="s">
        <v>2023</v>
      </c>
    </row>
    <row r="381" spans="1:11" ht="16" x14ac:dyDescent="0.2">
      <c r="A381" t="s">
        <v>744</v>
      </c>
      <c r="B381" t="s">
        <v>745</v>
      </c>
      <c r="C381" t="str">
        <f t="shared" si="26"/>
        <v>Atacames</v>
      </c>
      <c r="D381" t="str">
        <f t="shared" si="25"/>
        <v>Atacames</v>
      </c>
      <c r="E381" t="str">
        <f t="shared" si="27"/>
        <v>EC080650</v>
      </c>
      <c r="F381" t="str">
        <f>_xlfn.XLOOKUP(G381,ecu_admgz_adm2!D:D,ecu_admgz_adm2!C:C)</f>
        <v>Atacames</v>
      </c>
      <c r="G381" t="str">
        <f t="shared" si="28"/>
        <v>EC0806</v>
      </c>
      <c r="H381" t="str">
        <f t="shared" si="29"/>
        <v>EC08</v>
      </c>
      <c r="I381" t="str">
        <f>_xlfn.XLOOKUP(H381,eci_admgz_adm1!D:D,eci_admgz_adm1!C:C)</f>
        <v>Esmeraldas</v>
      </c>
      <c r="J381" t="s">
        <v>2021</v>
      </c>
      <c r="K381" s="1" t="s">
        <v>2023</v>
      </c>
    </row>
    <row r="382" spans="1:11" ht="16" x14ac:dyDescent="0.2">
      <c r="A382" t="s">
        <v>746</v>
      </c>
      <c r="B382" t="s">
        <v>135</v>
      </c>
      <c r="C382" t="str">
        <f t="shared" si="26"/>
        <v>La Unión</v>
      </c>
      <c r="D382" t="str">
        <f t="shared" si="25"/>
        <v>La Unión</v>
      </c>
      <c r="E382" t="str">
        <f t="shared" si="27"/>
        <v>EC080651</v>
      </c>
      <c r="F382" t="str">
        <f>_xlfn.XLOOKUP(G382,ecu_admgz_adm2!D:D,ecu_admgz_adm2!C:C)</f>
        <v>Atacames</v>
      </c>
      <c r="G382" t="str">
        <f t="shared" si="28"/>
        <v>EC0806</v>
      </c>
      <c r="H382" t="str">
        <f t="shared" si="29"/>
        <v>EC08</v>
      </c>
      <c r="I382" t="str">
        <f>_xlfn.XLOOKUP(H382,eci_admgz_adm1!D:D,eci_admgz_adm1!C:C)</f>
        <v>Esmeraldas</v>
      </c>
      <c r="J382" t="s">
        <v>2021</v>
      </c>
      <c r="K382" s="1" t="s">
        <v>2023</v>
      </c>
    </row>
    <row r="383" spans="1:11" ht="16" x14ac:dyDescent="0.2">
      <c r="A383" t="s">
        <v>747</v>
      </c>
      <c r="B383" t="s">
        <v>748</v>
      </c>
      <c r="C383" t="str">
        <f t="shared" si="26"/>
        <v>Súa</v>
      </c>
      <c r="D383" t="str">
        <f t="shared" si="25"/>
        <v>Súa</v>
      </c>
      <c r="E383" t="str">
        <f t="shared" si="27"/>
        <v>EC080652</v>
      </c>
      <c r="F383" t="str">
        <f>_xlfn.XLOOKUP(G383,ecu_admgz_adm2!D:D,ecu_admgz_adm2!C:C)</f>
        <v>Atacames</v>
      </c>
      <c r="G383" t="str">
        <f t="shared" si="28"/>
        <v>EC0806</v>
      </c>
      <c r="H383" t="str">
        <f t="shared" si="29"/>
        <v>EC08</v>
      </c>
      <c r="I383" t="str">
        <f>_xlfn.XLOOKUP(H383,eci_admgz_adm1!D:D,eci_admgz_adm1!C:C)</f>
        <v>Esmeraldas</v>
      </c>
      <c r="J383" t="s">
        <v>2021</v>
      </c>
      <c r="K383" s="1" t="s">
        <v>2023</v>
      </c>
    </row>
    <row r="384" spans="1:11" ht="16" x14ac:dyDescent="0.2">
      <c r="A384" t="s">
        <v>749</v>
      </c>
      <c r="B384" t="s">
        <v>750</v>
      </c>
      <c r="C384" t="str">
        <f t="shared" si="26"/>
        <v>Tonchigüe</v>
      </c>
      <c r="D384" t="str">
        <f t="shared" si="25"/>
        <v>Tonchigüe</v>
      </c>
      <c r="E384" t="str">
        <f t="shared" si="27"/>
        <v>EC080653</v>
      </c>
      <c r="F384" t="str">
        <f>_xlfn.XLOOKUP(G384,ecu_admgz_adm2!D:D,ecu_admgz_adm2!C:C)</f>
        <v>Atacames</v>
      </c>
      <c r="G384" t="str">
        <f t="shared" si="28"/>
        <v>EC0806</v>
      </c>
      <c r="H384" t="str">
        <f t="shared" si="29"/>
        <v>EC08</v>
      </c>
      <c r="I384" t="str">
        <f>_xlfn.XLOOKUP(H384,eci_admgz_adm1!D:D,eci_admgz_adm1!C:C)</f>
        <v>Esmeraldas</v>
      </c>
      <c r="J384" t="s">
        <v>2021</v>
      </c>
      <c r="K384" s="1" t="s">
        <v>2023</v>
      </c>
    </row>
    <row r="385" spans="1:11" ht="16" x14ac:dyDescent="0.2">
      <c r="A385" t="s">
        <v>751</v>
      </c>
      <c r="B385" t="s">
        <v>752</v>
      </c>
      <c r="C385" t="str">
        <f t="shared" si="26"/>
        <v>Tonsupa</v>
      </c>
      <c r="D385" t="str">
        <f t="shared" si="25"/>
        <v>Tonsupa</v>
      </c>
      <c r="E385" t="str">
        <f t="shared" si="27"/>
        <v>EC080654</v>
      </c>
      <c r="F385" t="str">
        <f>_xlfn.XLOOKUP(G385,ecu_admgz_adm2!D:D,ecu_admgz_adm2!C:C)</f>
        <v>Atacames</v>
      </c>
      <c r="G385" t="str">
        <f t="shared" si="28"/>
        <v>EC0806</v>
      </c>
      <c r="H385" t="str">
        <f t="shared" si="29"/>
        <v>EC08</v>
      </c>
      <c r="I385" t="str">
        <f>_xlfn.XLOOKUP(H385,eci_admgz_adm1!D:D,eci_admgz_adm1!C:C)</f>
        <v>Esmeraldas</v>
      </c>
      <c r="J385" t="s">
        <v>2021</v>
      </c>
      <c r="K385" s="1" t="s">
        <v>2023</v>
      </c>
    </row>
    <row r="386" spans="1:11" ht="16" x14ac:dyDescent="0.2">
      <c r="A386" t="s">
        <v>753</v>
      </c>
      <c r="B386" t="s">
        <v>754</v>
      </c>
      <c r="C386" t="str">
        <f t="shared" si="26"/>
        <v>Rioverde</v>
      </c>
      <c r="D386" t="str">
        <f t="shared" ref="D386:D449" si="30">SUBSTITUTE(SUBSTITUTE(SUBSTITUTE(SUBSTITUTE(SUBSTITUTE(SUBSTITUTE(PROPER($C386)," De "," de ")," La "," la ")," Del "," del ")," Los "," los ")," Y "," y "),"En","en")</f>
        <v>Rioverde</v>
      </c>
      <c r="E386" t="str">
        <f t="shared" si="27"/>
        <v>EC080750</v>
      </c>
      <c r="F386" t="str">
        <f>_xlfn.XLOOKUP(G386,ecu_admgz_adm2!D:D,ecu_admgz_adm2!C:C)</f>
        <v>Rioverde</v>
      </c>
      <c r="G386" t="str">
        <f t="shared" si="28"/>
        <v>EC0807</v>
      </c>
      <c r="H386" t="str">
        <f t="shared" si="29"/>
        <v>EC08</v>
      </c>
      <c r="I386" t="str">
        <f>_xlfn.XLOOKUP(H386,eci_admgz_adm1!D:D,eci_admgz_adm1!C:C)</f>
        <v>Esmeraldas</v>
      </c>
      <c r="J386" t="s">
        <v>2021</v>
      </c>
      <c r="K386" s="1" t="s">
        <v>2023</v>
      </c>
    </row>
    <row r="387" spans="1:11" ht="16" x14ac:dyDescent="0.2">
      <c r="A387" t="s">
        <v>755</v>
      </c>
      <c r="B387" t="s">
        <v>756</v>
      </c>
      <c r="C387" t="str">
        <f t="shared" ref="C387:C450" si="31">PROPER(B387)</f>
        <v>Chontaduro</v>
      </c>
      <c r="D387" t="str">
        <f t="shared" si="30"/>
        <v>Chontaduro</v>
      </c>
      <c r="E387" t="str">
        <f t="shared" ref="E387:E450" si="32">"EC"&amp;A387</f>
        <v>EC080751</v>
      </c>
      <c r="F387" t="str">
        <f>_xlfn.XLOOKUP(G387,ecu_admgz_adm2!D:D,ecu_admgz_adm2!C:C)</f>
        <v>Rioverde</v>
      </c>
      <c r="G387" t="str">
        <f t="shared" ref="G387:G450" si="33">LEFT(E387,6)</f>
        <v>EC0807</v>
      </c>
      <c r="H387" t="str">
        <f t="shared" ref="H387:H450" si="34">LEFT(G387,4)</f>
        <v>EC08</v>
      </c>
      <c r="I387" t="str">
        <f>_xlfn.XLOOKUP(H387,eci_admgz_adm1!D:D,eci_admgz_adm1!C:C)</f>
        <v>Esmeraldas</v>
      </c>
      <c r="J387" t="s">
        <v>2021</v>
      </c>
      <c r="K387" s="1" t="s">
        <v>2023</v>
      </c>
    </row>
    <row r="388" spans="1:11" ht="16" x14ac:dyDescent="0.2">
      <c r="A388" t="s">
        <v>757</v>
      </c>
      <c r="B388" t="s">
        <v>758</v>
      </c>
      <c r="C388" t="str">
        <f t="shared" si="31"/>
        <v>Chumundé</v>
      </c>
      <c r="D388" t="str">
        <f t="shared" si="30"/>
        <v>Chumundé</v>
      </c>
      <c r="E388" t="str">
        <f t="shared" si="32"/>
        <v>EC080752</v>
      </c>
      <c r="F388" t="str">
        <f>_xlfn.XLOOKUP(G388,ecu_admgz_adm2!D:D,ecu_admgz_adm2!C:C)</f>
        <v>Rioverde</v>
      </c>
      <c r="G388" t="str">
        <f t="shared" si="33"/>
        <v>EC0807</v>
      </c>
      <c r="H388" t="str">
        <f t="shared" si="34"/>
        <v>EC08</v>
      </c>
      <c r="I388" t="str">
        <f>_xlfn.XLOOKUP(H388,eci_admgz_adm1!D:D,eci_admgz_adm1!C:C)</f>
        <v>Esmeraldas</v>
      </c>
      <c r="J388" t="s">
        <v>2021</v>
      </c>
      <c r="K388" s="1" t="s">
        <v>2023</v>
      </c>
    </row>
    <row r="389" spans="1:11" ht="16" x14ac:dyDescent="0.2">
      <c r="A389" t="s">
        <v>759</v>
      </c>
      <c r="B389" t="s">
        <v>760</v>
      </c>
      <c r="C389" t="str">
        <f t="shared" si="31"/>
        <v>Lagarto</v>
      </c>
      <c r="D389" t="str">
        <f t="shared" si="30"/>
        <v>Lagarto</v>
      </c>
      <c r="E389" t="str">
        <f t="shared" si="32"/>
        <v>EC080753</v>
      </c>
      <c r="F389" t="str">
        <f>_xlfn.XLOOKUP(G389,ecu_admgz_adm2!D:D,ecu_admgz_adm2!C:C)</f>
        <v>Rioverde</v>
      </c>
      <c r="G389" t="str">
        <f t="shared" si="33"/>
        <v>EC0807</v>
      </c>
      <c r="H389" t="str">
        <f t="shared" si="34"/>
        <v>EC08</v>
      </c>
      <c r="I389" t="str">
        <f>_xlfn.XLOOKUP(H389,eci_admgz_adm1!D:D,eci_admgz_adm1!C:C)</f>
        <v>Esmeraldas</v>
      </c>
      <c r="J389" t="s">
        <v>2021</v>
      </c>
      <c r="K389" s="1" t="s">
        <v>2023</v>
      </c>
    </row>
    <row r="390" spans="1:11" ht="16" x14ac:dyDescent="0.2">
      <c r="A390" t="s">
        <v>761</v>
      </c>
      <c r="B390" t="s">
        <v>762</v>
      </c>
      <c r="C390" t="str">
        <f t="shared" si="31"/>
        <v>Montalvo</v>
      </c>
      <c r="D390" t="str">
        <f t="shared" si="30"/>
        <v>Montalvo</v>
      </c>
      <c r="E390" t="str">
        <f t="shared" si="32"/>
        <v>EC080754</v>
      </c>
      <c r="F390" t="str">
        <f>_xlfn.XLOOKUP(G390,ecu_admgz_adm2!D:D,ecu_admgz_adm2!C:C)</f>
        <v>Rioverde</v>
      </c>
      <c r="G390" t="str">
        <f t="shared" si="33"/>
        <v>EC0807</v>
      </c>
      <c r="H390" t="str">
        <f t="shared" si="34"/>
        <v>EC08</v>
      </c>
      <c r="I390" t="str">
        <f>_xlfn.XLOOKUP(H390,eci_admgz_adm1!D:D,eci_admgz_adm1!C:C)</f>
        <v>Esmeraldas</v>
      </c>
      <c r="J390" t="s">
        <v>2021</v>
      </c>
      <c r="K390" s="1" t="s">
        <v>2023</v>
      </c>
    </row>
    <row r="391" spans="1:11" ht="16" x14ac:dyDescent="0.2">
      <c r="A391" t="s">
        <v>763</v>
      </c>
      <c r="B391" t="s">
        <v>764</v>
      </c>
      <c r="C391" t="str">
        <f t="shared" si="31"/>
        <v>Rocafuerte</v>
      </c>
      <c r="D391" t="str">
        <f t="shared" si="30"/>
        <v>Rocafuerte</v>
      </c>
      <c r="E391" t="str">
        <f t="shared" si="32"/>
        <v>EC080755</v>
      </c>
      <c r="F391" t="str">
        <f>_xlfn.XLOOKUP(G391,ecu_admgz_adm2!D:D,ecu_admgz_adm2!C:C)</f>
        <v>Rioverde</v>
      </c>
      <c r="G391" t="str">
        <f t="shared" si="33"/>
        <v>EC0807</v>
      </c>
      <c r="H391" t="str">
        <f t="shared" si="34"/>
        <v>EC08</v>
      </c>
      <c r="I391" t="str">
        <f>_xlfn.XLOOKUP(H391,eci_admgz_adm1!D:D,eci_admgz_adm1!C:C)</f>
        <v>Esmeraldas</v>
      </c>
      <c r="J391" t="s">
        <v>2021</v>
      </c>
      <c r="K391" s="1" t="s">
        <v>2023</v>
      </c>
    </row>
    <row r="392" spans="1:11" ht="16" x14ac:dyDescent="0.2">
      <c r="A392" t="s">
        <v>765</v>
      </c>
      <c r="B392" t="s">
        <v>766</v>
      </c>
      <c r="C392" t="str">
        <f t="shared" si="31"/>
        <v>Guayaquil</v>
      </c>
      <c r="D392" t="str">
        <f t="shared" si="30"/>
        <v>Guayaquil</v>
      </c>
      <c r="E392" t="str">
        <f t="shared" si="32"/>
        <v>EC090150</v>
      </c>
      <c r="F392" t="str">
        <f>_xlfn.XLOOKUP(G392,ecu_admgz_adm2!D:D,ecu_admgz_adm2!C:C)</f>
        <v>Guayaquil</v>
      </c>
      <c r="G392" t="str">
        <f t="shared" si="33"/>
        <v>EC0901</v>
      </c>
      <c r="H392" t="str">
        <f t="shared" si="34"/>
        <v>EC09</v>
      </c>
      <c r="I392" t="str">
        <f>_xlfn.XLOOKUP(H392,eci_admgz_adm1!D:D,eci_admgz_adm1!C:C)</f>
        <v>Guayas</v>
      </c>
      <c r="J392" t="s">
        <v>2021</v>
      </c>
      <c r="K392" s="1" t="s">
        <v>2023</v>
      </c>
    </row>
    <row r="393" spans="1:11" ht="16" x14ac:dyDescent="0.2">
      <c r="A393" t="s">
        <v>768</v>
      </c>
      <c r="B393" t="s">
        <v>769</v>
      </c>
      <c r="C393" t="str">
        <f t="shared" si="31"/>
        <v>Juan Gómez Rendón</v>
      </c>
      <c r="D393" t="str">
        <f t="shared" si="30"/>
        <v>Juan Gómez Rendón</v>
      </c>
      <c r="E393" t="str">
        <f t="shared" si="32"/>
        <v>EC090152</v>
      </c>
      <c r="F393" t="str">
        <f>_xlfn.XLOOKUP(G393,ecu_admgz_adm2!D:D,ecu_admgz_adm2!C:C)</f>
        <v>Guayaquil</v>
      </c>
      <c r="G393" t="str">
        <f t="shared" si="33"/>
        <v>EC0901</v>
      </c>
      <c r="H393" t="str">
        <f t="shared" si="34"/>
        <v>EC09</v>
      </c>
      <c r="I393" t="str">
        <f>_xlfn.XLOOKUP(H393,eci_admgz_adm1!D:D,eci_admgz_adm1!C:C)</f>
        <v>Guayas</v>
      </c>
      <c r="J393" t="s">
        <v>2021</v>
      </c>
      <c r="K393" s="1" t="s">
        <v>2023</v>
      </c>
    </row>
    <row r="394" spans="1:11" ht="16" x14ac:dyDescent="0.2">
      <c r="A394" t="s">
        <v>770</v>
      </c>
      <c r="B394" t="s">
        <v>771</v>
      </c>
      <c r="C394" t="str">
        <f t="shared" si="31"/>
        <v>Morro</v>
      </c>
      <c r="D394" t="str">
        <f t="shared" si="30"/>
        <v>Morro</v>
      </c>
      <c r="E394" t="str">
        <f t="shared" si="32"/>
        <v>EC090153</v>
      </c>
      <c r="F394" t="str">
        <f>_xlfn.XLOOKUP(G394,ecu_admgz_adm2!D:D,ecu_admgz_adm2!C:C)</f>
        <v>Guayaquil</v>
      </c>
      <c r="G394" t="str">
        <f t="shared" si="33"/>
        <v>EC0901</v>
      </c>
      <c r="H394" t="str">
        <f t="shared" si="34"/>
        <v>EC09</v>
      </c>
      <c r="I394" t="str">
        <f>_xlfn.XLOOKUP(H394,eci_admgz_adm1!D:D,eci_admgz_adm1!C:C)</f>
        <v>Guayas</v>
      </c>
      <c r="J394" t="s">
        <v>2021</v>
      </c>
      <c r="K394" s="1" t="s">
        <v>2023</v>
      </c>
    </row>
    <row r="395" spans="1:11" ht="16" x14ac:dyDescent="0.2">
      <c r="A395" t="s">
        <v>772</v>
      </c>
      <c r="B395" t="s">
        <v>773</v>
      </c>
      <c r="C395" t="str">
        <f t="shared" si="31"/>
        <v>Posorja</v>
      </c>
      <c r="D395" t="str">
        <f t="shared" si="30"/>
        <v>Posorja</v>
      </c>
      <c r="E395" t="str">
        <f t="shared" si="32"/>
        <v>EC090156</v>
      </c>
      <c r="F395" t="str">
        <f>_xlfn.XLOOKUP(G395,ecu_admgz_adm2!D:D,ecu_admgz_adm2!C:C)</f>
        <v>Guayaquil</v>
      </c>
      <c r="G395" t="str">
        <f t="shared" si="33"/>
        <v>EC0901</v>
      </c>
      <c r="H395" t="str">
        <f t="shared" si="34"/>
        <v>EC09</v>
      </c>
      <c r="I395" t="str">
        <f>_xlfn.XLOOKUP(H395,eci_admgz_adm1!D:D,eci_admgz_adm1!C:C)</f>
        <v>Guayas</v>
      </c>
      <c r="J395" t="s">
        <v>2021</v>
      </c>
      <c r="K395" s="1" t="s">
        <v>2023</v>
      </c>
    </row>
    <row r="396" spans="1:11" ht="16" x14ac:dyDescent="0.2">
      <c r="A396" t="s">
        <v>774</v>
      </c>
      <c r="B396" t="s">
        <v>775</v>
      </c>
      <c r="C396" t="str">
        <f t="shared" si="31"/>
        <v>Puná</v>
      </c>
      <c r="D396" t="str">
        <f t="shared" si="30"/>
        <v>Puná</v>
      </c>
      <c r="E396" t="str">
        <f t="shared" si="32"/>
        <v>EC090157</v>
      </c>
      <c r="F396" t="str">
        <f>_xlfn.XLOOKUP(G396,ecu_admgz_adm2!D:D,ecu_admgz_adm2!C:C)</f>
        <v>Guayaquil</v>
      </c>
      <c r="G396" t="str">
        <f t="shared" si="33"/>
        <v>EC0901</v>
      </c>
      <c r="H396" t="str">
        <f t="shared" si="34"/>
        <v>EC09</v>
      </c>
      <c r="I396" t="str">
        <f>_xlfn.XLOOKUP(H396,eci_admgz_adm1!D:D,eci_admgz_adm1!C:C)</f>
        <v>Guayas</v>
      </c>
      <c r="J396" t="s">
        <v>2021</v>
      </c>
      <c r="K396" s="1" t="s">
        <v>2023</v>
      </c>
    </row>
    <row r="397" spans="1:11" ht="16" x14ac:dyDescent="0.2">
      <c r="A397" t="s">
        <v>776</v>
      </c>
      <c r="B397" t="s">
        <v>777</v>
      </c>
      <c r="C397" t="str">
        <f t="shared" si="31"/>
        <v>Tenguel</v>
      </c>
      <c r="D397" t="str">
        <f t="shared" si="30"/>
        <v>Tenguel</v>
      </c>
      <c r="E397" t="str">
        <f t="shared" si="32"/>
        <v>EC090158</v>
      </c>
      <c r="F397" t="str">
        <f>_xlfn.XLOOKUP(G397,ecu_admgz_adm2!D:D,ecu_admgz_adm2!C:C)</f>
        <v>Guayaquil</v>
      </c>
      <c r="G397" t="str">
        <f t="shared" si="33"/>
        <v>EC0901</v>
      </c>
      <c r="H397" t="str">
        <f t="shared" si="34"/>
        <v>EC09</v>
      </c>
      <c r="I397" t="str">
        <f>_xlfn.XLOOKUP(H397,eci_admgz_adm1!D:D,eci_admgz_adm1!C:C)</f>
        <v>Guayas</v>
      </c>
      <c r="J397" t="s">
        <v>2021</v>
      </c>
      <c r="K397" s="1" t="s">
        <v>2023</v>
      </c>
    </row>
    <row r="398" spans="1:11" ht="16" x14ac:dyDescent="0.2">
      <c r="A398" t="s">
        <v>778</v>
      </c>
      <c r="B398" t="s">
        <v>779</v>
      </c>
      <c r="C398" t="str">
        <f t="shared" si="31"/>
        <v>Alfredo Baquerizo Moreno (Juján)</v>
      </c>
      <c r="D398" t="str">
        <f t="shared" si="30"/>
        <v>Alfredo Baquerizo Moreno (Juján)</v>
      </c>
      <c r="E398" t="str">
        <f t="shared" si="32"/>
        <v>EC090250</v>
      </c>
      <c r="F398" t="str">
        <f>_xlfn.XLOOKUP(G398,ecu_admgz_adm2!D:D,ecu_admgz_adm2!C:C)</f>
        <v>Alfredo Baquerizo Moreno (Juján)</v>
      </c>
      <c r="G398" t="str">
        <f t="shared" si="33"/>
        <v>EC0902</v>
      </c>
      <c r="H398" t="str">
        <f t="shared" si="34"/>
        <v>EC09</v>
      </c>
      <c r="I398" t="str">
        <f>_xlfn.XLOOKUP(H398,eci_admgz_adm1!D:D,eci_admgz_adm1!C:C)</f>
        <v>Guayas</v>
      </c>
      <c r="J398" t="s">
        <v>2021</v>
      </c>
      <c r="K398" s="1" t="s">
        <v>2023</v>
      </c>
    </row>
    <row r="399" spans="1:11" ht="16" x14ac:dyDescent="0.2">
      <c r="A399" t="s">
        <v>780</v>
      </c>
      <c r="B399" t="s">
        <v>781</v>
      </c>
      <c r="C399" t="str">
        <f t="shared" si="31"/>
        <v>Balao</v>
      </c>
      <c r="D399" t="str">
        <f t="shared" si="30"/>
        <v>Balao</v>
      </c>
      <c r="E399" t="str">
        <f t="shared" si="32"/>
        <v>EC090350</v>
      </c>
      <c r="F399" t="str">
        <f>_xlfn.XLOOKUP(G399,ecu_admgz_adm2!D:D,ecu_admgz_adm2!C:C)</f>
        <v>Balao</v>
      </c>
      <c r="G399" t="str">
        <f t="shared" si="33"/>
        <v>EC0903</v>
      </c>
      <c r="H399" t="str">
        <f t="shared" si="34"/>
        <v>EC09</v>
      </c>
      <c r="I399" t="str">
        <f>_xlfn.XLOOKUP(H399,eci_admgz_adm1!D:D,eci_admgz_adm1!C:C)</f>
        <v>Guayas</v>
      </c>
      <c r="J399" t="s">
        <v>2021</v>
      </c>
      <c r="K399" s="1" t="s">
        <v>2023</v>
      </c>
    </row>
    <row r="400" spans="1:11" ht="16" x14ac:dyDescent="0.2">
      <c r="A400" t="s">
        <v>782</v>
      </c>
      <c r="B400" t="s">
        <v>783</v>
      </c>
      <c r="C400" t="str">
        <f t="shared" si="31"/>
        <v>Balzar</v>
      </c>
      <c r="D400" t="str">
        <f t="shared" si="30"/>
        <v>Balzar</v>
      </c>
      <c r="E400" t="str">
        <f t="shared" si="32"/>
        <v>EC090450</v>
      </c>
      <c r="F400" t="str">
        <f>_xlfn.XLOOKUP(G400,ecu_admgz_adm2!D:D,ecu_admgz_adm2!C:C)</f>
        <v>Balzar</v>
      </c>
      <c r="G400" t="str">
        <f t="shared" si="33"/>
        <v>EC0904</v>
      </c>
      <c r="H400" t="str">
        <f t="shared" si="34"/>
        <v>EC09</v>
      </c>
      <c r="I400" t="str">
        <f>_xlfn.XLOOKUP(H400,eci_admgz_adm1!D:D,eci_admgz_adm1!C:C)</f>
        <v>Guayas</v>
      </c>
      <c r="J400" t="s">
        <v>2021</v>
      </c>
      <c r="K400" s="1" t="s">
        <v>2023</v>
      </c>
    </row>
    <row r="401" spans="1:11" ht="16" x14ac:dyDescent="0.2">
      <c r="A401" t="s">
        <v>784</v>
      </c>
      <c r="B401" t="s">
        <v>785</v>
      </c>
      <c r="C401" t="str">
        <f t="shared" si="31"/>
        <v>Colimes</v>
      </c>
      <c r="D401" t="str">
        <f t="shared" si="30"/>
        <v>Colimes</v>
      </c>
      <c r="E401" t="str">
        <f t="shared" si="32"/>
        <v>EC090550</v>
      </c>
      <c r="F401" t="str">
        <f>_xlfn.XLOOKUP(G401,ecu_admgz_adm2!D:D,ecu_admgz_adm2!C:C)</f>
        <v>Colimes</v>
      </c>
      <c r="G401" t="str">
        <f t="shared" si="33"/>
        <v>EC0905</v>
      </c>
      <c r="H401" t="str">
        <f t="shared" si="34"/>
        <v>EC09</v>
      </c>
      <c r="I401" t="str">
        <f>_xlfn.XLOOKUP(H401,eci_admgz_adm1!D:D,eci_admgz_adm1!C:C)</f>
        <v>Guayas</v>
      </c>
      <c r="J401" t="s">
        <v>2021</v>
      </c>
      <c r="K401" s="1" t="s">
        <v>2023</v>
      </c>
    </row>
    <row r="402" spans="1:11" ht="16" x14ac:dyDescent="0.2">
      <c r="A402" t="s">
        <v>786</v>
      </c>
      <c r="B402" t="s">
        <v>787</v>
      </c>
      <c r="C402" t="str">
        <f t="shared" si="31"/>
        <v>San Jacinto</v>
      </c>
      <c r="D402" t="str">
        <f t="shared" si="30"/>
        <v>San Jacinto</v>
      </c>
      <c r="E402" t="str">
        <f t="shared" si="32"/>
        <v>EC090551</v>
      </c>
      <c r="F402" t="str">
        <f>_xlfn.XLOOKUP(G402,ecu_admgz_adm2!D:D,ecu_admgz_adm2!C:C)</f>
        <v>Colimes</v>
      </c>
      <c r="G402" t="str">
        <f t="shared" si="33"/>
        <v>EC0905</v>
      </c>
      <c r="H402" t="str">
        <f t="shared" si="34"/>
        <v>EC09</v>
      </c>
      <c r="I402" t="str">
        <f>_xlfn.XLOOKUP(H402,eci_admgz_adm1!D:D,eci_admgz_adm1!C:C)</f>
        <v>Guayas</v>
      </c>
      <c r="J402" t="s">
        <v>2021</v>
      </c>
      <c r="K402" s="1" t="s">
        <v>2023</v>
      </c>
    </row>
    <row r="403" spans="1:11" ht="16" x14ac:dyDescent="0.2">
      <c r="A403" t="s">
        <v>788</v>
      </c>
      <c r="B403" t="s">
        <v>697</v>
      </c>
      <c r="C403" t="str">
        <f t="shared" si="31"/>
        <v>Daule</v>
      </c>
      <c r="D403" t="str">
        <f t="shared" si="30"/>
        <v>Daule</v>
      </c>
      <c r="E403" t="str">
        <f t="shared" si="32"/>
        <v>EC090650</v>
      </c>
      <c r="F403" t="str">
        <f>_xlfn.XLOOKUP(G403,ecu_admgz_adm2!D:D,ecu_admgz_adm2!C:C)</f>
        <v>Daule</v>
      </c>
      <c r="G403" t="str">
        <f t="shared" si="33"/>
        <v>EC0906</v>
      </c>
      <c r="H403" t="str">
        <f t="shared" si="34"/>
        <v>EC09</v>
      </c>
      <c r="I403" t="str">
        <f>_xlfn.XLOOKUP(H403,eci_admgz_adm1!D:D,eci_admgz_adm1!C:C)</f>
        <v>Guayas</v>
      </c>
      <c r="J403" t="s">
        <v>2021</v>
      </c>
      <c r="K403" s="1" t="s">
        <v>2023</v>
      </c>
    </row>
    <row r="404" spans="1:11" ht="16" x14ac:dyDescent="0.2">
      <c r="A404" t="s">
        <v>789</v>
      </c>
      <c r="B404" t="s">
        <v>790</v>
      </c>
      <c r="C404" t="str">
        <f t="shared" si="31"/>
        <v>Juan Bautista Aguirre</v>
      </c>
      <c r="D404" t="str">
        <f t="shared" si="30"/>
        <v>Juan Bautista Aguirre</v>
      </c>
      <c r="E404" t="str">
        <f t="shared" si="32"/>
        <v>EC090652</v>
      </c>
      <c r="F404" t="str">
        <f>_xlfn.XLOOKUP(G404,ecu_admgz_adm2!D:D,ecu_admgz_adm2!C:C)</f>
        <v>Daule</v>
      </c>
      <c r="G404" t="str">
        <f t="shared" si="33"/>
        <v>EC0906</v>
      </c>
      <c r="H404" t="str">
        <f t="shared" si="34"/>
        <v>EC09</v>
      </c>
      <c r="I404" t="str">
        <f>_xlfn.XLOOKUP(H404,eci_admgz_adm1!D:D,eci_admgz_adm1!C:C)</f>
        <v>Guayas</v>
      </c>
      <c r="J404" t="s">
        <v>2021</v>
      </c>
      <c r="K404" s="1" t="s">
        <v>2023</v>
      </c>
    </row>
    <row r="405" spans="1:11" ht="16" x14ac:dyDescent="0.2">
      <c r="A405" t="s">
        <v>791</v>
      </c>
      <c r="B405" t="s">
        <v>792</v>
      </c>
      <c r="C405" t="str">
        <f t="shared" si="31"/>
        <v>Laurel</v>
      </c>
      <c r="D405" t="str">
        <f t="shared" si="30"/>
        <v>Laurel</v>
      </c>
      <c r="E405" t="str">
        <f t="shared" si="32"/>
        <v>EC090653</v>
      </c>
      <c r="F405" t="str">
        <f>_xlfn.XLOOKUP(G405,ecu_admgz_adm2!D:D,ecu_admgz_adm2!C:C)</f>
        <v>Daule</v>
      </c>
      <c r="G405" t="str">
        <f t="shared" si="33"/>
        <v>EC0906</v>
      </c>
      <c r="H405" t="str">
        <f t="shared" si="34"/>
        <v>EC09</v>
      </c>
      <c r="I405" t="str">
        <f>_xlfn.XLOOKUP(H405,eci_admgz_adm1!D:D,eci_admgz_adm1!C:C)</f>
        <v>Guayas</v>
      </c>
      <c r="J405" t="s">
        <v>2021</v>
      </c>
      <c r="K405" s="1" t="s">
        <v>2023</v>
      </c>
    </row>
    <row r="406" spans="1:11" ht="16" x14ac:dyDescent="0.2">
      <c r="A406" t="s">
        <v>793</v>
      </c>
      <c r="B406" t="s">
        <v>794</v>
      </c>
      <c r="C406" t="str">
        <f t="shared" si="31"/>
        <v>Limonal</v>
      </c>
      <c r="D406" t="str">
        <f t="shared" si="30"/>
        <v>Limonal</v>
      </c>
      <c r="E406" t="str">
        <f t="shared" si="32"/>
        <v>EC090654</v>
      </c>
      <c r="F406" t="str">
        <f>_xlfn.XLOOKUP(G406,ecu_admgz_adm2!D:D,ecu_admgz_adm2!C:C)</f>
        <v>Daule</v>
      </c>
      <c r="G406" t="str">
        <f t="shared" si="33"/>
        <v>EC0906</v>
      </c>
      <c r="H406" t="str">
        <f t="shared" si="34"/>
        <v>EC09</v>
      </c>
      <c r="I406" t="str">
        <f>_xlfn.XLOOKUP(H406,eci_admgz_adm1!D:D,eci_admgz_adm1!C:C)</f>
        <v>Guayas</v>
      </c>
      <c r="J406" t="s">
        <v>2021</v>
      </c>
      <c r="K406" s="1" t="s">
        <v>2023</v>
      </c>
    </row>
    <row r="407" spans="1:11" ht="16" x14ac:dyDescent="0.2">
      <c r="A407" t="s">
        <v>795</v>
      </c>
      <c r="B407" t="s">
        <v>796</v>
      </c>
      <c r="C407" t="str">
        <f t="shared" si="31"/>
        <v>Los Lojas</v>
      </c>
      <c r="D407" t="str">
        <f t="shared" si="30"/>
        <v>Los Lojas</v>
      </c>
      <c r="E407" t="str">
        <f t="shared" si="32"/>
        <v>EC090656</v>
      </c>
      <c r="F407" t="str">
        <f>_xlfn.XLOOKUP(G407,ecu_admgz_adm2!D:D,ecu_admgz_adm2!C:C)</f>
        <v>Daule</v>
      </c>
      <c r="G407" t="str">
        <f t="shared" si="33"/>
        <v>EC0906</v>
      </c>
      <c r="H407" t="str">
        <f t="shared" si="34"/>
        <v>EC09</v>
      </c>
      <c r="I407" t="str">
        <f>_xlfn.XLOOKUP(H407,eci_admgz_adm1!D:D,eci_admgz_adm1!C:C)</f>
        <v>Guayas</v>
      </c>
      <c r="J407" t="s">
        <v>2021</v>
      </c>
      <c r="K407" s="1" t="s">
        <v>2023</v>
      </c>
    </row>
    <row r="408" spans="1:11" ht="16" x14ac:dyDescent="0.2">
      <c r="A408" t="s">
        <v>797</v>
      </c>
      <c r="B408" t="s">
        <v>664</v>
      </c>
      <c r="C408" t="str">
        <f t="shared" si="31"/>
        <v>Eloy Alfaro</v>
      </c>
      <c r="D408" t="str">
        <f t="shared" si="30"/>
        <v>Eloy Alfaro</v>
      </c>
      <c r="E408" t="str">
        <f t="shared" si="32"/>
        <v>EC090750</v>
      </c>
      <c r="F408" t="str">
        <f>_xlfn.XLOOKUP(G408,ecu_admgz_adm2!D:D,ecu_admgz_adm2!C:C)</f>
        <v>Durán</v>
      </c>
      <c r="G408" t="str">
        <f t="shared" si="33"/>
        <v>EC0907</v>
      </c>
      <c r="H408" t="str">
        <f t="shared" si="34"/>
        <v>EC09</v>
      </c>
      <c r="I408" t="str">
        <f>_xlfn.XLOOKUP(H408,eci_admgz_adm1!D:D,eci_admgz_adm1!C:C)</f>
        <v>Guayas</v>
      </c>
      <c r="J408" t="s">
        <v>2021</v>
      </c>
      <c r="K408" s="1" t="s">
        <v>2023</v>
      </c>
    </row>
    <row r="409" spans="1:11" ht="16" x14ac:dyDescent="0.2">
      <c r="A409" t="s">
        <v>798</v>
      </c>
      <c r="B409" t="s">
        <v>799</v>
      </c>
      <c r="C409" t="str">
        <f t="shared" si="31"/>
        <v>Velasco Ibarra</v>
      </c>
      <c r="D409" t="str">
        <f t="shared" si="30"/>
        <v>Velasco Ibarra</v>
      </c>
      <c r="E409" t="str">
        <f t="shared" si="32"/>
        <v>EC090850</v>
      </c>
      <c r="F409" t="str">
        <f>_xlfn.XLOOKUP(G409,ecu_admgz_adm2!D:D,ecu_admgz_adm2!C:C)</f>
        <v>El Empalme</v>
      </c>
      <c r="G409" t="str">
        <f t="shared" si="33"/>
        <v>EC0908</v>
      </c>
      <c r="H409" t="str">
        <f t="shared" si="34"/>
        <v>EC09</v>
      </c>
      <c r="I409" t="str">
        <f>_xlfn.XLOOKUP(H409,eci_admgz_adm1!D:D,eci_admgz_adm1!C:C)</f>
        <v>Guayas</v>
      </c>
      <c r="J409" t="s">
        <v>2021</v>
      </c>
      <c r="K409" s="1" t="s">
        <v>2023</v>
      </c>
    </row>
    <row r="410" spans="1:11" ht="16" x14ac:dyDescent="0.2">
      <c r="A410" t="s">
        <v>800</v>
      </c>
      <c r="B410" t="s">
        <v>767</v>
      </c>
      <c r="C410" t="str">
        <f t="shared" si="31"/>
        <v>Guayas</v>
      </c>
      <c r="D410" t="str">
        <f t="shared" si="30"/>
        <v>Guayas</v>
      </c>
      <c r="E410" t="str">
        <f t="shared" si="32"/>
        <v>EC090851</v>
      </c>
      <c r="F410" t="str">
        <f>_xlfn.XLOOKUP(G410,ecu_admgz_adm2!D:D,ecu_admgz_adm2!C:C)</f>
        <v>El Empalme</v>
      </c>
      <c r="G410" t="str">
        <f t="shared" si="33"/>
        <v>EC0908</v>
      </c>
      <c r="H410" t="str">
        <f t="shared" si="34"/>
        <v>EC09</v>
      </c>
      <c r="I410" t="str">
        <f>_xlfn.XLOOKUP(H410,eci_admgz_adm1!D:D,eci_admgz_adm1!C:C)</f>
        <v>Guayas</v>
      </c>
      <c r="J410" t="s">
        <v>2021</v>
      </c>
      <c r="K410" s="1" t="s">
        <v>2023</v>
      </c>
    </row>
    <row r="411" spans="1:11" ht="16" x14ac:dyDescent="0.2">
      <c r="A411" t="s">
        <v>801</v>
      </c>
      <c r="B411" t="s">
        <v>802</v>
      </c>
      <c r="C411" t="str">
        <f t="shared" si="31"/>
        <v>El Rosario</v>
      </c>
      <c r="D411" t="str">
        <f t="shared" si="30"/>
        <v>El Rosario</v>
      </c>
      <c r="E411" t="str">
        <f t="shared" si="32"/>
        <v>EC090852</v>
      </c>
      <c r="F411" t="str">
        <f>_xlfn.XLOOKUP(G411,ecu_admgz_adm2!D:D,ecu_admgz_adm2!C:C)</f>
        <v>El Empalme</v>
      </c>
      <c r="G411" t="str">
        <f t="shared" si="33"/>
        <v>EC0908</v>
      </c>
      <c r="H411" t="str">
        <f t="shared" si="34"/>
        <v>EC09</v>
      </c>
      <c r="I411" t="str">
        <f>_xlfn.XLOOKUP(H411,eci_admgz_adm1!D:D,eci_admgz_adm1!C:C)</f>
        <v>Guayas</v>
      </c>
      <c r="J411" t="s">
        <v>2021</v>
      </c>
      <c r="K411" s="1" t="s">
        <v>2023</v>
      </c>
    </row>
    <row r="412" spans="1:11" ht="16" x14ac:dyDescent="0.2">
      <c r="A412" t="s">
        <v>803</v>
      </c>
      <c r="B412" t="s">
        <v>804</v>
      </c>
      <c r="C412" t="str">
        <f t="shared" si="31"/>
        <v>El Triunfo</v>
      </c>
      <c r="D412" t="str">
        <f t="shared" si="30"/>
        <v>El Triunfo</v>
      </c>
      <c r="E412" t="str">
        <f t="shared" si="32"/>
        <v>EC090950</v>
      </c>
      <c r="F412" t="str">
        <f>_xlfn.XLOOKUP(G412,ecu_admgz_adm2!D:D,ecu_admgz_adm2!C:C)</f>
        <v>El Triunfo</v>
      </c>
      <c r="G412" t="str">
        <f t="shared" si="33"/>
        <v>EC0909</v>
      </c>
      <c r="H412" t="str">
        <f t="shared" si="34"/>
        <v>EC09</v>
      </c>
      <c r="I412" t="str">
        <f>_xlfn.XLOOKUP(H412,eci_admgz_adm1!D:D,eci_admgz_adm1!C:C)</f>
        <v>Guayas</v>
      </c>
      <c r="J412" t="s">
        <v>2021</v>
      </c>
      <c r="K412" s="1" t="s">
        <v>2023</v>
      </c>
    </row>
    <row r="413" spans="1:11" ht="16" x14ac:dyDescent="0.2">
      <c r="A413" t="s">
        <v>805</v>
      </c>
      <c r="B413" t="s">
        <v>542</v>
      </c>
      <c r="C413" t="str">
        <f t="shared" si="31"/>
        <v>Milagro</v>
      </c>
      <c r="D413" t="str">
        <f t="shared" si="30"/>
        <v>Milagro</v>
      </c>
      <c r="E413" t="str">
        <f t="shared" si="32"/>
        <v>EC091050</v>
      </c>
      <c r="F413" t="str">
        <f>_xlfn.XLOOKUP(G413,ecu_admgz_adm2!D:D,ecu_admgz_adm2!C:C)</f>
        <v>Milagro</v>
      </c>
      <c r="G413" t="str">
        <f t="shared" si="33"/>
        <v>EC0910</v>
      </c>
      <c r="H413" t="str">
        <f t="shared" si="34"/>
        <v>EC09</v>
      </c>
      <c r="I413" t="str">
        <f>_xlfn.XLOOKUP(H413,eci_admgz_adm1!D:D,eci_admgz_adm1!C:C)</f>
        <v>Guayas</v>
      </c>
      <c r="J413" t="s">
        <v>2021</v>
      </c>
      <c r="K413" s="1" t="s">
        <v>2023</v>
      </c>
    </row>
    <row r="414" spans="1:11" ht="16" x14ac:dyDescent="0.2">
      <c r="A414" t="s">
        <v>806</v>
      </c>
      <c r="B414" t="s">
        <v>807</v>
      </c>
      <c r="C414" t="str">
        <f t="shared" si="31"/>
        <v>Chobo</v>
      </c>
      <c r="D414" t="str">
        <f t="shared" si="30"/>
        <v>Chobo</v>
      </c>
      <c r="E414" t="str">
        <f t="shared" si="32"/>
        <v>EC091051</v>
      </c>
      <c r="F414" t="str">
        <f>_xlfn.XLOOKUP(G414,ecu_admgz_adm2!D:D,ecu_admgz_adm2!C:C)</f>
        <v>Milagro</v>
      </c>
      <c r="G414" t="str">
        <f t="shared" si="33"/>
        <v>EC0910</v>
      </c>
      <c r="H414" t="str">
        <f t="shared" si="34"/>
        <v>EC09</v>
      </c>
      <c r="I414" t="str">
        <f>_xlfn.XLOOKUP(H414,eci_admgz_adm1!D:D,eci_admgz_adm1!C:C)</f>
        <v>Guayas</v>
      </c>
      <c r="J414" t="s">
        <v>2021</v>
      </c>
      <c r="K414" s="1" t="s">
        <v>2023</v>
      </c>
    </row>
    <row r="415" spans="1:11" ht="16" x14ac:dyDescent="0.2">
      <c r="A415" t="s">
        <v>808</v>
      </c>
      <c r="B415" t="s">
        <v>333</v>
      </c>
      <c r="C415" t="str">
        <f t="shared" si="31"/>
        <v>Mariscal Sucre</v>
      </c>
      <c r="D415" t="str">
        <f t="shared" si="30"/>
        <v>Mariscal Sucre</v>
      </c>
      <c r="E415" t="str">
        <f t="shared" si="32"/>
        <v>EC091053</v>
      </c>
      <c r="F415" t="str">
        <f>_xlfn.XLOOKUP(G415,ecu_admgz_adm2!D:D,ecu_admgz_adm2!C:C)</f>
        <v>Milagro</v>
      </c>
      <c r="G415" t="str">
        <f t="shared" si="33"/>
        <v>EC0910</v>
      </c>
      <c r="H415" t="str">
        <f t="shared" si="34"/>
        <v>EC09</v>
      </c>
      <c r="I415" t="str">
        <f>_xlfn.XLOOKUP(H415,eci_admgz_adm1!D:D,eci_admgz_adm1!C:C)</f>
        <v>Guayas</v>
      </c>
      <c r="J415" t="s">
        <v>2021</v>
      </c>
      <c r="K415" s="1" t="s">
        <v>2023</v>
      </c>
    </row>
    <row r="416" spans="1:11" ht="16" x14ac:dyDescent="0.2">
      <c r="A416" t="s">
        <v>809</v>
      </c>
      <c r="B416" t="s">
        <v>810</v>
      </c>
      <c r="C416" t="str">
        <f t="shared" si="31"/>
        <v>Roberto Astudillo</v>
      </c>
      <c r="D416" t="str">
        <f t="shared" si="30"/>
        <v>Roberto Astudillo</v>
      </c>
      <c r="E416" t="str">
        <f t="shared" si="32"/>
        <v>EC091054</v>
      </c>
      <c r="F416" t="str">
        <f>_xlfn.XLOOKUP(G416,ecu_admgz_adm2!D:D,ecu_admgz_adm2!C:C)</f>
        <v>Milagro</v>
      </c>
      <c r="G416" t="str">
        <f t="shared" si="33"/>
        <v>EC0910</v>
      </c>
      <c r="H416" t="str">
        <f t="shared" si="34"/>
        <v>EC09</v>
      </c>
      <c r="I416" t="str">
        <f>_xlfn.XLOOKUP(H416,eci_admgz_adm1!D:D,eci_admgz_adm1!C:C)</f>
        <v>Guayas</v>
      </c>
      <c r="J416" t="s">
        <v>2021</v>
      </c>
      <c r="K416" s="1" t="s">
        <v>2023</v>
      </c>
    </row>
    <row r="417" spans="1:11" ht="16" x14ac:dyDescent="0.2">
      <c r="A417" t="s">
        <v>811</v>
      </c>
      <c r="B417" t="s">
        <v>812</v>
      </c>
      <c r="C417" t="str">
        <f t="shared" si="31"/>
        <v>Naranjal</v>
      </c>
      <c r="D417" t="str">
        <f t="shared" si="30"/>
        <v>Naranjal</v>
      </c>
      <c r="E417" t="str">
        <f t="shared" si="32"/>
        <v>EC091150</v>
      </c>
      <c r="F417" t="str">
        <f>_xlfn.XLOOKUP(G417,ecu_admgz_adm2!D:D,ecu_admgz_adm2!C:C)</f>
        <v>Naranjal</v>
      </c>
      <c r="G417" t="str">
        <f t="shared" si="33"/>
        <v>EC0911</v>
      </c>
      <c r="H417" t="str">
        <f t="shared" si="34"/>
        <v>EC09</v>
      </c>
      <c r="I417" t="str">
        <f>_xlfn.XLOOKUP(H417,eci_admgz_adm1!D:D,eci_admgz_adm1!C:C)</f>
        <v>Guayas</v>
      </c>
      <c r="J417" t="s">
        <v>2021</v>
      </c>
      <c r="K417" s="1" t="s">
        <v>2023</v>
      </c>
    </row>
    <row r="418" spans="1:11" ht="16" x14ac:dyDescent="0.2">
      <c r="A418" t="s">
        <v>813</v>
      </c>
      <c r="B418" t="s">
        <v>814</v>
      </c>
      <c r="C418" t="str">
        <f t="shared" si="31"/>
        <v>Jesús María</v>
      </c>
      <c r="D418" t="str">
        <f t="shared" si="30"/>
        <v>Jesús María</v>
      </c>
      <c r="E418" t="str">
        <f t="shared" si="32"/>
        <v>EC091151</v>
      </c>
      <c r="F418" t="str">
        <f>_xlfn.XLOOKUP(G418,ecu_admgz_adm2!D:D,ecu_admgz_adm2!C:C)</f>
        <v>Naranjal</v>
      </c>
      <c r="G418" t="str">
        <f t="shared" si="33"/>
        <v>EC0911</v>
      </c>
      <c r="H418" t="str">
        <f t="shared" si="34"/>
        <v>EC09</v>
      </c>
      <c r="I418" t="str">
        <f>_xlfn.XLOOKUP(H418,eci_admgz_adm1!D:D,eci_admgz_adm1!C:C)</f>
        <v>Guayas</v>
      </c>
      <c r="J418" t="s">
        <v>2021</v>
      </c>
      <c r="K418" s="1" t="s">
        <v>2023</v>
      </c>
    </row>
    <row r="419" spans="1:11" ht="16" x14ac:dyDescent="0.2">
      <c r="A419" t="s">
        <v>815</v>
      </c>
      <c r="B419" t="s">
        <v>816</v>
      </c>
      <c r="C419" t="str">
        <f t="shared" si="31"/>
        <v>San Carlos</v>
      </c>
      <c r="D419" t="str">
        <f t="shared" si="30"/>
        <v>San Carlos</v>
      </c>
      <c r="E419" t="str">
        <f t="shared" si="32"/>
        <v>EC091152</v>
      </c>
      <c r="F419" t="str">
        <f>_xlfn.XLOOKUP(G419,ecu_admgz_adm2!D:D,ecu_admgz_adm2!C:C)</f>
        <v>Naranjal</v>
      </c>
      <c r="G419" t="str">
        <f t="shared" si="33"/>
        <v>EC0911</v>
      </c>
      <c r="H419" t="str">
        <f t="shared" si="34"/>
        <v>EC09</v>
      </c>
      <c r="I419" t="str">
        <f>_xlfn.XLOOKUP(H419,eci_admgz_adm1!D:D,eci_admgz_adm1!C:C)</f>
        <v>Guayas</v>
      </c>
      <c r="J419" t="s">
        <v>2021</v>
      </c>
      <c r="K419" s="1" t="s">
        <v>2023</v>
      </c>
    </row>
    <row r="420" spans="1:11" ht="16" x14ac:dyDescent="0.2">
      <c r="A420" t="s">
        <v>817</v>
      </c>
      <c r="B420" t="s">
        <v>818</v>
      </c>
      <c r="C420" t="str">
        <f t="shared" si="31"/>
        <v>Santa Rosa De Flandes</v>
      </c>
      <c r="D420" t="str">
        <f t="shared" si="30"/>
        <v>Santa Rosa de Flandes</v>
      </c>
      <c r="E420" t="str">
        <f t="shared" si="32"/>
        <v>EC091153</v>
      </c>
      <c r="F420" t="str">
        <f>_xlfn.XLOOKUP(G420,ecu_admgz_adm2!D:D,ecu_admgz_adm2!C:C)</f>
        <v>Naranjal</v>
      </c>
      <c r="G420" t="str">
        <f t="shared" si="33"/>
        <v>EC0911</v>
      </c>
      <c r="H420" t="str">
        <f t="shared" si="34"/>
        <v>EC09</v>
      </c>
      <c r="I420" t="str">
        <f>_xlfn.XLOOKUP(H420,eci_admgz_adm1!D:D,eci_admgz_adm1!C:C)</f>
        <v>Guayas</v>
      </c>
      <c r="J420" t="s">
        <v>2021</v>
      </c>
      <c r="K420" s="1" t="s">
        <v>2023</v>
      </c>
    </row>
    <row r="421" spans="1:11" ht="16" x14ac:dyDescent="0.2">
      <c r="A421" t="s">
        <v>819</v>
      </c>
      <c r="B421" t="s">
        <v>820</v>
      </c>
      <c r="C421" t="str">
        <f t="shared" si="31"/>
        <v>Taura</v>
      </c>
      <c r="D421" t="str">
        <f t="shared" si="30"/>
        <v>Taura</v>
      </c>
      <c r="E421" t="str">
        <f t="shared" si="32"/>
        <v>EC091154</v>
      </c>
      <c r="F421" t="str">
        <f>_xlfn.XLOOKUP(G421,ecu_admgz_adm2!D:D,ecu_admgz_adm2!C:C)</f>
        <v>Naranjal</v>
      </c>
      <c r="G421" t="str">
        <f t="shared" si="33"/>
        <v>EC0911</v>
      </c>
      <c r="H421" t="str">
        <f t="shared" si="34"/>
        <v>EC09</v>
      </c>
      <c r="I421" t="str">
        <f>_xlfn.XLOOKUP(H421,eci_admgz_adm1!D:D,eci_admgz_adm1!C:C)</f>
        <v>Guayas</v>
      </c>
      <c r="J421" t="s">
        <v>2021</v>
      </c>
      <c r="K421" s="1" t="s">
        <v>2023</v>
      </c>
    </row>
    <row r="422" spans="1:11" ht="16" x14ac:dyDescent="0.2">
      <c r="A422" t="s">
        <v>821</v>
      </c>
      <c r="B422" t="s">
        <v>822</v>
      </c>
      <c r="C422" t="str">
        <f t="shared" si="31"/>
        <v>Naranjito</v>
      </c>
      <c r="D422" t="str">
        <f t="shared" si="30"/>
        <v>Naranjito</v>
      </c>
      <c r="E422" t="str">
        <f t="shared" si="32"/>
        <v>EC091250</v>
      </c>
      <c r="F422" t="str">
        <f>_xlfn.XLOOKUP(G422,ecu_admgz_adm2!D:D,ecu_admgz_adm2!C:C)</f>
        <v>Naranjito</v>
      </c>
      <c r="G422" t="str">
        <f t="shared" si="33"/>
        <v>EC0912</v>
      </c>
      <c r="H422" t="str">
        <f t="shared" si="34"/>
        <v>EC09</v>
      </c>
      <c r="I422" t="str">
        <f>_xlfn.XLOOKUP(H422,eci_admgz_adm1!D:D,eci_admgz_adm1!C:C)</f>
        <v>Guayas</v>
      </c>
      <c r="J422" t="s">
        <v>2021</v>
      </c>
      <c r="K422" s="1" t="s">
        <v>2023</v>
      </c>
    </row>
    <row r="423" spans="1:11" ht="16" x14ac:dyDescent="0.2">
      <c r="A423" t="s">
        <v>823</v>
      </c>
      <c r="B423" t="s">
        <v>824</v>
      </c>
      <c r="C423" t="str">
        <f t="shared" si="31"/>
        <v>Palestina</v>
      </c>
      <c r="D423" t="str">
        <f t="shared" si="30"/>
        <v>Palestina</v>
      </c>
      <c r="E423" t="str">
        <f t="shared" si="32"/>
        <v>EC091350</v>
      </c>
      <c r="F423" t="str">
        <f>_xlfn.XLOOKUP(G423,ecu_admgz_adm2!D:D,ecu_admgz_adm2!C:C)</f>
        <v>Palestina</v>
      </c>
      <c r="G423" t="str">
        <f t="shared" si="33"/>
        <v>EC0913</v>
      </c>
      <c r="H423" t="str">
        <f t="shared" si="34"/>
        <v>EC09</v>
      </c>
      <c r="I423" t="str">
        <f>_xlfn.XLOOKUP(H423,eci_admgz_adm1!D:D,eci_admgz_adm1!C:C)</f>
        <v>Guayas</v>
      </c>
      <c r="J423" t="s">
        <v>2021</v>
      </c>
      <c r="K423" s="1" t="s">
        <v>2023</v>
      </c>
    </row>
    <row r="424" spans="1:11" ht="16" x14ac:dyDescent="0.2">
      <c r="A424" t="s">
        <v>825</v>
      </c>
      <c r="B424" t="s">
        <v>826</v>
      </c>
      <c r="C424" t="str">
        <f t="shared" si="31"/>
        <v>Pedro Carbo</v>
      </c>
      <c r="D424" t="str">
        <f t="shared" si="30"/>
        <v>Pedro Carbo</v>
      </c>
      <c r="E424" t="str">
        <f t="shared" si="32"/>
        <v>EC091450</v>
      </c>
      <c r="F424" t="str">
        <f>_xlfn.XLOOKUP(G424,ecu_admgz_adm2!D:D,ecu_admgz_adm2!C:C)</f>
        <v>Pedro Carbo</v>
      </c>
      <c r="G424" t="str">
        <f t="shared" si="33"/>
        <v>EC0914</v>
      </c>
      <c r="H424" t="str">
        <f t="shared" si="34"/>
        <v>EC09</v>
      </c>
      <c r="I424" t="str">
        <f>_xlfn.XLOOKUP(H424,eci_admgz_adm1!D:D,eci_admgz_adm1!C:C)</f>
        <v>Guayas</v>
      </c>
      <c r="J424" t="s">
        <v>2021</v>
      </c>
      <c r="K424" s="1" t="s">
        <v>2023</v>
      </c>
    </row>
    <row r="425" spans="1:11" ht="16" x14ac:dyDescent="0.2">
      <c r="A425" t="s">
        <v>827</v>
      </c>
      <c r="B425" t="s">
        <v>828</v>
      </c>
      <c r="C425" t="str">
        <f t="shared" si="31"/>
        <v>Valle De La Virgen</v>
      </c>
      <c r="D425" t="str">
        <f t="shared" si="30"/>
        <v>Valle de la Virgen</v>
      </c>
      <c r="E425" t="str">
        <f t="shared" si="32"/>
        <v>EC091451</v>
      </c>
      <c r="F425" t="str">
        <f>_xlfn.XLOOKUP(G425,ecu_admgz_adm2!D:D,ecu_admgz_adm2!C:C)</f>
        <v>Pedro Carbo</v>
      </c>
      <c r="G425" t="str">
        <f t="shared" si="33"/>
        <v>EC0914</v>
      </c>
      <c r="H425" t="str">
        <f t="shared" si="34"/>
        <v>EC09</v>
      </c>
      <c r="I425" t="str">
        <f>_xlfn.XLOOKUP(H425,eci_admgz_adm1!D:D,eci_admgz_adm1!C:C)</f>
        <v>Guayas</v>
      </c>
      <c r="J425" t="s">
        <v>2021</v>
      </c>
      <c r="K425" s="1" t="s">
        <v>2023</v>
      </c>
    </row>
    <row r="426" spans="1:11" ht="16" x14ac:dyDescent="0.2">
      <c r="A426" t="s">
        <v>829</v>
      </c>
      <c r="B426" t="s">
        <v>830</v>
      </c>
      <c r="C426" t="str">
        <f t="shared" si="31"/>
        <v>Sabanilla</v>
      </c>
      <c r="D426" t="str">
        <f t="shared" si="30"/>
        <v>Sabanilla</v>
      </c>
      <c r="E426" t="str">
        <f t="shared" si="32"/>
        <v>EC091452</v>
      </c>
      <c r="F426" t="str">
        <f>_xlfn.XLOOKUP(G426,ecu_admgz_adm2!D:D,ecu_admgz_adm2!C:C)</f>
        <v>Pedro Carbo</v>
      </c>
      <c r="G426" t="str">
        <f t="shared" si="33"/>
        <v>EC0914</v>
      </c>
      <c r="H426" t="str">
        <f t="shared" si="34"/>
        <v>EC09</v>
      </c>
      <c r="I426" t="str">
        <f>_xlfn.XLOOKUP(H426,eci_admgz_adm1!D:D,eci_admgz_adm1!C:C)</f>
        <v>Guayas</v>
      </c>
      <c r="J426" t="s">
        <v>2021</v>
      </c>
      <c r="K426" s="1" t="s">
        <v>2023</v>
      </c>
    </row>
    <row r="427" spans="1:11" ht="16" x14ac:dyDescent="0.2">
      <c r="A427" t="s">
        <v>831</v>
      </c>
      <c r="B427" t="s">
        <v>832</v>
      </c>
      <c r="C427" t="str">
        <f t="shared" si="31"/>
        <v>Samborondón</v>
      </c>
      <c r="D427" t="str">
        <f t="shared" si="30"/>
        <v>Samborondón</v>
      </c>
      <c r="E427" t="str">
        <f t="shared" si="32"/>
        <v>EC091650</v>
      </c>
      <c r="F427" t="str">
        <f>_xlfn.XLOOKUP(G427,ecu_admgz_adm2!D:D,ecu_admgz_adm2!C:C)</f>
        <v>Samborondón</v>
      </c>
      <c r="G427" t="str">
        <f t="shared" si="33"/>
        <v>EC0916</v>
      </c>
      <c r="H427" t="str">
        <f t="shared" si="34"/>
        <v>EC09</v>
      </c>
      <c r="I427" t="str">
        <f>_xlfn.XLOOKUP(H427,eci_admgz_adm1!D:D,eci_admgz_adm1!C:C)</f>
        <v>Guayas</v>
      </c>
      <c r="J427" t="s">
        <v>2021</v>
      </c>
      <c r="K427" s="1" t="s">
        <v>2023</v>
      </c>
    </row>
    <row r="428" spans="1:11" ht="16" x14ac:dyDescent="0.2">
      <c r="A428" t="s">
        <v>833</v>
      </c>
      <c r="B428" t="s">
        <v>834</v>
      </c>
      <c r="C428" t="str">
        <f t="shared" si="31"/>
        <v>Tarifa</v>
      </c>
      <c r="D428" t="str">
        <f t="shared" si="30"/>
        <v>Tarifa</v>
      </c>
      <c r="E428" t="str">
        <f t="shared" si="32"/>
        <v>EC091651</v>
      </c>
      <c r="F428" t="str">
        <f>_xlfn.XLOOKUP(G428,ecu_admgz_adm2!D:D,ecu_admgz_adm2!C:C)</f>
        <v>Samborondón</v>
      </c>
      <c r="G428" t="str">
        <f t="shared" si="33"/>
        <v>EC0916</v>
      </c>
      <c r="H428" t="str">
        <f t="shared" si="34"/>
        <v>EC09</v>
      </c>
      <c r="I428" t="str">
        <f>_xlfn.XLOOKUP(H428,eci_admgz_adm1!D:D,eci_admgz_adm1!C:C)</f>
        <v>Guayas</v>
      </c>
      <c r="J428" t="s">
        <v>2021</v>
      </c>
      <c r="K428" s="1" t="s">
        <v>2023</v>
      </c>
    </row>
    <row r="429" spans="1:11" ht="16" x14ac:dyDescent="0.2">
      <c r="A429" t="s">
        <v>835</v>
      </c>
      <c r="B429" t="s">
        <v>836</v>
      </c>
      <c r="C429" t="str">
        <f t="shared" si="31"/>
        <v>Santa Lucía</v>
      </c>
      <c r="D429" t="str">
        <f t="shared" si="30"/>
        <v>Santa Lucía</v>
      </c>
      <c r="E429" t="str">
        <f t="shared" si="32"/>
        <v>EC091850</v>
      </c>
      <c r="F429" t="str">
        <f>_xlfn.XLOOKUP(G429,ecu_admgz_adm2!D:D,ecu_admgz_adm2!C:C)</f>
        <v>Santa Lucía</v>
      </c>
      <c r="G429" t="str">
        <f t="shared" si="33"/>
        <v>EC0918</v>
      </c>
      <c r="H429" t="str">
        <f t="shared" si="34"/>
        <v>EC09</v>
      </c>
      <c r="I429" t="str">
        <f>_xlfn.XLOOKUP(H429,eci_admgz_adm1!D:D,eci_admgz_adm1!C:C)</f>
        <v>Guayas</v>
      </c>
      <c r="J429" t="s">
        <v>2021</v>
      </c>
      <c r="K429" s="1" t="s">
        <v>2023</v>
      </c>
    </row>
    <row r="430" spans="1:11" ht="16" x14ac:dyDescent="0.2">
      <c r="A430" t="s">
        <v>837</v>
      </c>
      <c r="B430" t="s">
        <v>838</v>
      </c>
      <c r="C430" t="str">
        <f t="shared" si="31"/>
        <v>El Salitre</v>
      </c>
      <c r="D430" t="str">
        <f t="shared" si="30"/>
        <v>El Salitre</v>
      </c>
      <c r="E430" t="str">
        <f t="shared" si="32"/>
        <v>EC091950</v>
      </c>
      <c r="F430" t="str">
        <f>_xlfn.XLOOKUP(G430,ecu_admgz_adm2!D:D,ecu_admgz_adm2!C:C)</f>
        <v>Salitre</v>
      </c>
      <c r="G430" t="str">
        <f t="shared" si="33"/>
        <v>EC0919</v>
      </c>
      <c r="H430" t="str">
        <f t="shared" si="34"/>
        <v>EC09</v>
      </c>
      <c r="I430" t="str">
        <f>_xlfn.XLOOKUP(H430,eci_admgz_adm1!D:D,eci_admgz_adm1!C:C)</f>
        <v>Guayas</v>
      </c>
      <c r="J430" t="s">
        <v>2021</v>
      </c>
      <c r="K430" s="1" t="s">
        <v>2023</v>
      </c>
    </row>
    <row r="431" spans="1:11" ht="16" x14ac:dyDescent="0.2">
      <c r="A431" t="s">
        <v>839</v>
      </c>
      <c r="B431" t="s">
        <v>840</v>
      </c>
      <c r="C431" t="str">
        <f t="shared" si="31"/>
        <v>General Vernaza</v>
      </c>
      <c r="D431" t="str">
        <f t="shared" si="30"/>
        <v>General Vernaza</v>
      </c>
      <c r="E431" t="str">
        <f t="shared" si="32"/>
        <v>EC091951</v>
      </c>
      <c r="F431" t="str">
        <f>_xlfn.XLOOKUP(G431,ecu_admgz_adm2!D:D,ecu_admgz_adm2!C:C)</f>
        <v>Salitre</v>
      </c>
      <c r="G431" t="str">
        <f t="shared" si="33"/>
        <v>EC0919</v>
      </c>
      <c r="H431" t="str">
        <f t="shared" si="34"/>
        <v>EC09</v>
      </c>
      <c r="I431" t="str">
        <f>_xlfn.XLOOKUP(H431,eci_admgz_adm1!D:D,eci_admgz_adm1!C:C)</f>
        <v>Guayas</v>
      </c>
      <c r="J431" t="s">
        <v>2021</v>
      </c>
      <c r="K431" s="1" t="s">
        <v>2023</v>
      </c>
    </row>
    <row r="432" spans="1:11" ht="16" x14ac:dyDescent="0.2">
      <c r="A432" t="s">
        <v>841</v>
      </c>
      <c r="B432" t="s">
        <v>377</v>
      </c>
      <c r="C432" t="str">
        <f t="shared" si="31"/>
        <v>La Victoria</v>
      </c>
      <c r="D432" t="str">
        <f t="shared" si="30"/>
        <v>La Victoria</v>
      </c>
      <c r="E432" t="str">
        <f t="shared" si="32"/>
        <v>EC091952</v>
      </c>
      <c r="F432" t="str">
        <f>_xlfn.XLOOKUP(G432,ecu_admgz_adm2!D:D,ecu_admgz_adm2!C:C)</f>
        <v>Salitre</v>
      </c>
      <c r="G432" t="str">
        <f t="shared" si="33"/>
        <v>EC0919</v>
      </c>
      <c r="H432" t="str">
        <f t="shared" si="34"/>
        <v>EC09</v>
      </c>
      <c r="I432" t="str">
        <f>_xlfn.XLOOKUP(H432,eci_admgz_adm1!D:D,eci_admgz_adm1!C:C)</f>
        <v>Guayas</v>
      </c>
      <c r="J432" t="s">
        <v>2021</v>
      </c>
      <c r="K432" s="1" t="s">
        <v>2023</v>
      </c>
    </row>
    <row r="433" spans="1:11" ht="16" x14ac:dyDescent="0.2">
      <c r="A433" t="s">
        <v>842</v>
      </c>
      <c r="B433" t="s">
        <v>843</v>
      </c>
      <c r="C433" t="str">
        <f t="shared" si="31"/>
        <v>Junquillal</v>
      </c>
      <c r="D433" t="str">
        <f t="shared" si="30"/>
        <v>Junquillal</v>
      </c>
      <c r="E433" t="str">
        <f t="shared" si="32"/>
        <v>EC091953</v>
      </c>
      <c r="F433" t="str">
        <f>_xlfn.XLOOKUP(G433,ecu_admgz_adm2!D:D,ecu_admgz_adm2!C:C)</f>
        <v>Salitre</v>
      </c>
      <c r="G433" t="str">
        <f t="shared" si="33"/>
        <v>EC0919</v>
      </c>
      <c r="H433" t="str">
        <f t="shared" si="34"/>
        <v>EC09</v>
      </c>
      <c r="I433" t="str">
        <f>_xlfn.XLOOKUP(H433,eci_admgz_adm1!D:D,eci_admgz_adm1!C:C)</f>
        <v>Guayas</v>
      </c>
      <c r="J433" t="s">
        <v>2021</v>
      </c>
      <c r="K433" s="1" t="s">
        <v>2023</v>
      </c>
    </row>
    <row r="434" spans="1:11" ht="16" x14ac:dyDescent="0.2">
      <c r="A434" t="s">
        <v>844</v>
      </c>
      <c r="B434" t="s">
        <v>845</v>
      </c>
      <c r="C434" t="str">
        <f t="shared" si="31"/>
        <v>San Jacinto De Yaguachi</v>
      </c>
      <c r="D434" t="str">
        <f t="shared" si="30"/>
        <v>San Jacinto de Yaguachi</v>
      </c>
      <c r="E434" t="str">
        <f t="shared" si="32"/>
        <v>EC092050</v>
      </c>
      <c r="F434" t="str">
        <f>_xlfn.XLOOKUP(G434,ecu_admgz_adm2!D:D,ecu_admgz_adm2!C:C)</f>
        <v>San Jacinto de Yaguachi</v>
      </c>
      <c r="G434" t="str">
        <f t="shared" si="33"/>
        <v>EC0920</v>
      </c>
      <c r="H434" t="str">
        <f t="shared" si="34"/>
        <v>EC09</v>
      </c>
      <c r="I434" t="str">
        <f>_xlfn.XLOOKUP(H434,eci_admgz_adm1!D:D,eci_admgz_adm1!C:C)</f>
        <v>Guayas</v>
      </c>
      <c r="J434" t="s">
        <v>2021</v>
      </c>
      <c r="K434" s="1" t="s">
        <v>2023</v>
      </c>
    </row>
    <row r="435" spans="1:11" ht="16" x14ac:dyDescent="0.2">
      <c r="A435" t="s">
        <v>846</v>
      </c>
      <c r="B435" t="s">
        <v>847</v>
      </c>
      <c r="C435" t="str">
        <f t="shared" si="31"/>
        <v>General Pedro J. Montero</v>
      </c>
      <c r="D435" t="str">
        <f t="shared" si="30"/>
        <v>General Pedro J. Montero</v>
      </c>
      <c r="E435" t="str">
        <f t="shared" si="32"/>
        <v>EC092053</v>
      </c>
      <c r="F435" t="str">
        <f>_xlfn.XLOOKUP(G435,ecu_admgz_adm2!D:D,ecu_admgz_adm2!C:C)</f>
        <v>San Jacinto de Yaguachi</v>
      </c>
      <c r="G435" t="str">
        <f t="shared" si="33"/>
        <v>EC0920</v>
      </c>
      <c r="H435" t="str">
        <f t="shared" si="34"/>
        <v>EC09</v>
      </c>
      <c r="I435" t="str">
        <f>_xlfn.XLOOKUP(H435,eci_admgz_adm1!D:D,eci_admgz_adm1!C:C)</f>
        <v>Guayas</v>
      </c>
      <c r="J435" t="s">
        <v>2021</v>
      </c>
      <c r="K435" s="1" t="s">
        <v>2023</v>
      </c>
    </row>
    <row r="436" spans="1:11" ht="16" x14ac:dyDescent="0.2">
      <c r="A436" t="s">
        <v>848</v>
      </c>
      <c r="B436" t="s">
        <v>849</v>
      </c>
      <c r="C436" t="str">
        <f t="shared" si="31"/>
        <v>Yaguachi Viejo</v>
      </c>
      <c r="D436" t="str">
        <f t="shared" si="30"/>
        <v>Yaguachi Viejo</v>
      </c>
      <c r="E436" t="str">
        <f t="shared" si="32"/>
        <v>EC092055</v>
      </c>
      <c r="F436" t="str">
        <f>_xlfn.XLOOKUP(G436,ecu_admgz_adm2!D:D,ecu_admgz_adm2!C:C)</f>
        <v>San Jacinto de Yaguachi</v>
      </c>
      <c r="G436" t="str">
        <f t="shared" si="33"/>
        <v>EC0920</v>
      </c>
      <c r="H436" t="str">
        <f t="shared" si="34"/>
        <v>EC09</v>
      </c>
      <c r="I436" t="str">
        <f>_xlfn.XLOOKUP(H436,eci_admgz_adm1!D:D,eci_admgz_adm1!C:C)</f>
        <v>Guayas</v>
      </c>
      <c r="J436" t="s">
        <v>2021</v>
      </c>
      <c r="K436" s="1" t="s">
        <v>2023</v>
      </c>
    </row>
    <row r="437" spans="1:11" ht="16" x14ac:dyDescent="0.2">
      <c r="A437" t="s">
        <v>850</v>
      </c>
      <c r="B437" t="s">
        <v>851</v>
      </c>
      <c r="C437" t="str">
        <f t="shared" si="31"/>
        <v>Virgen De Fátima</v>
      </c>
      <c r="D437" t="str">
        <f t="shared" si="30"/>
        <v>Virgen de Fátima</v>
      </c>
      <c r="E437" t="str">
        <f t="shared" si="32"/>
        <v>EC092056</v>
      </c>
      <c r="F437" t="str">
        <f>_xlfn.XLOOKUP(G437,ecu_admgz_adm2!D:D,ecu_admgz_adm2!C:C)</f>
        <v>San Jacinto de Yaguachi</v>
      </c>
      <c r="G437" t="str">
        <f t="shared" si="33"/>
        <v>EC0920</v>
      </c>
      <c r="H437" t="str">
        <f t="shared" si="34"/>
        <v>EC09</v>
      </c>
      <c r="I437" t="str">
        <f>_xlfn.XLOOKUP(H437,eci_admgz_adm1!D:D,eci_admgz_adm1!C:C)</f>
        <v>Guayas</v>
      </c>
      <c r="J437" t="s">
        <v>2021</v>
      </c>
      <c r="K437" s="1" t="s">
        <v>2023</v>
      </c>
    </row>
    <row r="438" spans="1:11" ht="16" x14ac:dyDescent="0.2">
      <c r="A438" t="s">
        <v>852</v>
      </c>
      <c r="B438" t="s">
        <v>853</v>
      </c>
      <c r="C438" t="str">
        <f t="shared" si="31"/>
        <v>General Villamil</v>
      </c>
      <c r="D438" t="str">
        <f t="shared" si="30"/>
        <v>General Villamil</v>
      </c>
      <c r="E438" t="str">
        <f t="shared" si="32"/>
        <v>EC092150</v>
      </c>
      <c r="F438" t="str">
        <f>_xlfn.XLOOKUP(G438,ecu_admgz_adm2!D:D,ecu_admgz_adm2!C:C)</f>
        <v>Playas</v>
      </c>
      <c r="G438" t="str">
        <f t="shared" si="33"/>
        <v>EC0921</v>
      </c>
      <c r="H438" t="str">
        <f t="shared" si="34"/>
        <v>EC09</v>
      </c>
      <c r="I438" t="str">
        <f>_xlfn.XLOOKUP(H438,eci_admgz_adm1!D:D,eci_admgz_adm1!C:C)</f>
        <v>Guayas</v>
      </c>
      <c r="J438" t="s">
        <v>2021</v>
      </c>
      <c r="K438" s="1" t="s">
        <v>2023</v>
      </c>
    </row>
    <row r="439" spans="1:11" ht="16" x14ac:dyDescent="0.2">
      <c r="A439" t="s">
        <v>854</v>
      </c>
      <c r="B439" t="s">
        <v>69</v>
      </c>
      <c r="C439" t="str">
        <f t="shared" si="31"/>
        <v>Simón Bolívar</v>
      </c>
      <c r="D439" t="str">
        <f t="shared" si="30"/>
        <v>Simón Bolívar</v>
      </c>
      <c r="E439" t="str">
        <f t="shared" si="32"/>
        <v>EC092250</v>
      </c>
      <c r="F439" t="str">
        <f>_xlfn.XLOOKUP(G439,ecu_admgz_adm2!D:D,ecu_admgz_adm2!C:C)</f>
        <v>Simón Bolívar</v>
      </c>
      <c r="G439" t="str">
        <f t="shared" si="33"/>
        <v>EC0922</v>
      </c>
      <c r="H439" t="str">
        <f t="shared" si="34"/>
        <v>EC09</v>
      </c>
      <c r="I439" t="str">
        <f>_xlfn.XLOOKUP(H439,eci_admgz_adm1!D:D,eci_admgz_adm1!C:C)</f>
        <v>Guayas</v>
      </c>
      <c r="J439" t="s">
        <v>2021</v>
      </c>
      <c r="K439" s="1" t="s">
        <v>2023</v>
      </c>
    </row>
    <row r="440" spans="1:11" ht="16" x14ac:dyDescent="0.2">
      <c r="A440" t="s">
        <v>855</v>
      </c>
      <c r="B440" t="s">
        <v>856</v>
      </c>
      <c r="C440" t="str">
        <f t="shared" si="31"/>
        <v>Coronel Lorenzo De Garaycoa</v>
      </c>
      <c r="D440" t="str">
        <f t="shared" si="30"/>
        <v>Coronel Lorenzo de Garaycoa</v>
      </c>
      <c r="E440" t="str">
        <f t="shared" si="32"/>
        <v>EC092251</v>
      </c>
      <c r="F440" t="str">
        <f>_xlfn.XLOOKUP(G440,ecu_admgz_adm2!D:D,ecu_admgz_adm2!C:C)</f>
        <v>Simón Bolívar</v>
      </c>
      <c r="G440" t="str">
        <f t="shared" si="33"/>
        <v>EC0922</v>
      </c>
      <c r="H440" t="str">
        <f t="shared" si="34"/>
        <v>EC09</v>
      </c>
      <c r="I440" t="str">
        <f>_xlfn.XLOOKUP(H440,eci_admgz_adm1!D:D,eci_admgz_adm1!C:C)</f>
        <v>Guayas</v>
      </c>
      <c r="J440" t="s">
        <v>2021</v>
      </c>
      <c r="K440" s="1" t="s">
        <v>2023</v>
      </c>
    </row>
    <row r="441" spans="1:11" ht="16" x14ac:dyDescent="0.2">
      <c r="A441" t="s">
        <v>857</v>
      </c>
      <c r="B441" t="s">
        <v>858</v>
      </c>
      <c r="C441" t="str">
        <f t="shared" si="31"/>
        <v>Coronel Marcelino Maridueña</v>
      </c>
      <c r="D441" t="str">
        <f t="shared" si="30"/>
        <v>Coronel Marcelino Maridueña</v>
      </c>
      <c r="E441" t="str">
        <f t="shared" si="32"/>
        <v>EC092350</v>
      </c>
      <c r="F441" t="str">
        <f>_xlfn.XLOOKUP(G441,ecu_admgz_adm2!D:D,ecu_admgz_adm2!C:C)</f>
        <v>Coronel Marcelino Maridueña</v>
      </c>
      <c r="G441" t="str">
        <f t="shared" si="33"/>
        <v>EC0923</v>
      </c>
      <c r="H441" t="str">
        <f t="shared" si="34"/>
        <v>EC09</v>
      </c>
      <c r="I441" t="str">
        <f>_xlfn.XLOOKUP(H441,eci_admgz_adm1!D:D,eci_admgz_adm1!C:C)</f>
        <v>Guayas</v>
      </c>
      <c r="J441" t="s">
        <v>2021</v>
      </c>
      <c r="K441" s="1" t="s">
        <v>2023</v>
      </c>
    </row>
    <row r="442" spans="1:11" ht="16" x14ac:dyDescent="0.2">
      <c r="A442" t="s">
        <v>859</v>
      </c>
      <c r="B442" t="s">
        <v>860</v>
      </c>
      <c r="C442" t="str">
        <f t="shared" si="31"/>
        <v>Lomas De Sargentillo</v>
      </c>
      <c r="D442" t="str">
        <f t="shared" si="30"/>
        <v>Lomas de Sargentillo</v>
      </c>
      <c r="E442" t="str">
        <f t="shared" si="32"/>
        <v>EC092450</v>
      </c>
      <c r="F442" t="str">
        <f>_xlfn.XLOOKUP(G442,ecu_admgz_adm2!D:D,ecu_admgz_adm2!C:C)</f>
        <v>Lomas de Sargentillo</v>
      </c>
      <c r="G442" t="str">
        <f t="shared" si="33"/>
        <v>EC0924</v>
      </c>
      <c r="H442" t="str">
        <f t="shared" si="34"/>
        <v>EC09</v>
      </c>
      <c r="I442" t="str">
        <f>_xlfn.XLOOKUP(H442,eci_admgz_adm1!D:D,eci_admgz_adm1!C:C)</f>
        <v>Guayas</v>
      </c>
      <c r="J442" t="s">
        <v>2021</v>
      </c>
      <c r="K442" s="1" t="s">
        <v>2023</v>
      </c>
    </row>
    <row r="443" spans="1:11" ht="16" x14ac:dyDescent="0.2">
      <c r="A443" t="s">
        <v>861</v>
      </c>
      <c r="B443" t="s">
        <v>862</v>
      </c>
      <c r="C443" t="str">
        <f t="shared" si="31"/>
        <v>Narcisa De Jesús</v>
      </c>
      <c r="D443" t="str">
        <f t="shared" si="30"/>
        <v>Narcisa de Jesús</v>
      </c>
      <c r="E443" t="str">
        <f t="shared" si="32"/>
        <v>EC092550</v>
      </c>
      <c r="F443" t="str">
        <f>_xlfn.XLOOKUP(G443,ecu_admgz_adm2!D:D,ecu_admgz_adm2!C:C)</f>
        <v>Nobol</v>
      </c>
      <c r="G443" t="str">
        <f t="shared" si="33"/>
        <v>EC0925</v>
      </c>
      <c r="H443" t="str">
        <f t="shared" si="34"/>
        <v>EC09</v>
      </c>
      <c r="I443" t="str">
        <f>_xlfn.XLOOKUP(H443,eci_admgz_adm1!D:D,eci_admgz_adm1!C:C)</f>
        <v>Guayas</v>
      </c>
      <c r="J443" t="s">
        <v>2021</v>
      </c>
      <c r="K443" s="1" t="s">
        <v>2023</v>
      </c>
    </row>
    <row r="444" spans="1:11" ht="16" x14ac:dyDescent="0.2">
      <c r="A444" t="s">
        <v>863</v>
      </c>
      <c r="B444" t="s">
        <v>864</v>
      </c>
      <c r="C444" t="str">
        <f t="shared" si="31"/>
        <v>General Antonio Elizalde</v>
      </c>
      <c r="D444" t="str">
        <f t="shared" si="30"/>
        <v>General Antonio Elizalde</v>
      </c>
      <c r="E444" t="str">
        <f t="shared" si="32"/>
        <v>EC092750</v>
      </c>
      <c r="F444" t="str">
        <f>_xlfn.XLOOKUP(G444,ecu_admgz_adm2!D:D,ecu_admgz_adm2!C:C)</f>
        <v>General  Antonio Elizalde</v>
      </c>
      <c r="G444" t="str">
        <f t="shared" si="33"/>
        <v>EC0927</v>
      </c>
      <c r="H444" t="str">
        <f t="shared" si="34"/>
        <v>EC09</v>
      </c>
      <c r="I444" t="str">
        <f>_xlfn.XLOOKUP(H444,eci_admgz_adm1!D:D,eci_admgz_adm1!C:C)</f>
        <v>Guayas</v>
      </c>
      <c r="J444" t="s">
        <v>2021</v>
      </c>
      <c r="K444" s="1" t="s">
        <v>2023</v>
      </c>
    </row>
    <row r="445" spans="1:11" ht="16" x14ac:dyDescent="0.2">
      <c r="A445" t="s">
        <v>865</v>
      </c>
      <c r="B445" t="s">
        <v>866</v>
      </c>
      <c r="C445" t="str">
        <f t="shared" si="31"/>
        <v>Isidro Ayora</v>
      </c>
      <c r="D445" t="str">
        <f t="shared" si="30"/>
        <v>Isidro Ayora</v>
      </c>
      <c r="E445" t="str">
        <f t="shared" si="32"/>
        <v>EC092850</v>
      </c>
      <c r="F445" t="str">
        <f>_xlfn.XLOOKUP(G445,ecu_admgz_adm2!D:D,ecu_admgz_adm2!C:C)</f>
        <v>Isidro Ayora</v>
      </c>
      <c r="G445" t="str">
        <f t="shared" si="33"/>
        <v>EC0928</v>
      </c>
      <c r="H445" t="str">
        <f t="shared" si="34"/>
        <v>EC09</v>
      </c>
      <c r="I445" t="str">
        <f>_xlfn.XLOOKUP(H445,eci_admgz_adm1!D:D,eci_admgz_adm1!C:C)</f>
        <v>Guayas</v>
      </c>
      <c r="J445" t="s">
        <v>2021</v>
      </c>
      <c r="K445" s="1" t="s">
        <v>2023</v>
      </c>
    </row>
    <row r="446" spans="1:11" ht="16" x14ac:dyDescent="0.2">
      <c r="A446" t="s">
        <v>867</v>
      </c>
      <c r="B446" t="s">
        <v>868</v>
      </c>
      <c r="C446" t="str">
        <f t="shared" si="31"/>
        <v>San Miguel De Ibarra</v>
      </c>
      <c r="D446" t="str">
        <f t="shared" si="30"/>
        <v>San Miguel de Ibarra</v>
      </c>
      <c r="E446" t="str">
        <f t="shared" si="32"/>
        <v>EC100150</v>
      </c>
      <c r="F446" t="str">
        <f>_xlfn.XLOOKUP(G446,ecu_admgz_adm2!D:D,ecu_admgz_adm2!C:C)</f>
        <v>Ibarra</v>
      </c>
      <c r="G446" t="str">
        <f t="shared" si="33"/>
        <v>EC1001</v>
      </c>
      <c r="H446" t="str">
        <f t="shared" si="34"/>
        <v>EC10</v>
      </c>
      <c r="I446" t="str">
        <f>_xlfn.XLOOKUP(H446,eci_admgz_adm1!D:D,eci_admgz_adm1!C:C)</f>
        <v>Imbabura</v>
      </c>
      <c r="J446" t="s">
        <v>2021</v>
      </c>
      <c r="K446" s="1" t="s">
        <v>2023</v>
      </c>
    </row>
    <row r="447" spans="1:11" ht="16" x14ac:dyDescent="0.2">
      <c r="A447" t="s">
        <v>869</v>
      </c>
      <c r="B447" t="s">
        <v>870</v>
      </c>
      <c r="C447" t="str">
        <f t="shared" si="31"/>
        <v>Ambuquí</v>
      </c>
      <c r="D447" t="str">
        <f t="shared" si="30"/>
        <v>Ambuquí</v>
      </c>
      <c r="E447" t="str">
        <f t="shared" si="32"/>
        <v>EC100151</v>
      </c>
      <c r="F447" t="str">
        <f>_xlfn.XLOOKUP(G447,ecu_admgz_adm2!D:D,ecu_admgz_adm2!C:C)</f>
        <v>Ibarra</v>
      </c>
      <c r="G447" t="str">
        <f t="shared" si="33"/>
        <v>EC1001</v>
      </c>
      <c r="H447" t="str">
        <f t="shared" si="34"/>
        <v>EC10</v>
      </c>
      <c r="I447" t="str">
        <f>_xlfn.XLOOKUP(H447,eci_admgz_adm1!D:D,eci_admgz_adm1!C:C)</f>
        <v>Imbabura</v>
      </c>
      <c r="J447" t="s">
        <v>2021</v>
      </c>
      <c r="K447" s="1" t="s">
        <v>2023</v>
      </c>
    </row>
    <row r="448" spans="1:11" ht="16" x14ac:dyDescent="0.2">
      <c r="A448" t="s">
        <v>871</v>
      </c>
      <c r="B448" t="s">
        <v>872</v>
      </c>
      <c r="C448" t="str">
        <f t="shared" si="31"/>
        <v>Angochagua</v>
      </c>
      <c r="D448" t="str">
        <f t="shared" si="30"/>
        <v>Angochagua</v>
      </c>
      <c r="E448" t="str">
        <f t="shared" si="32"/>
        <v>EC100152</v>
      </c>
      <c r="F448" t="str">
        <f>_xlfn.XLOOKUP(G448,ecu_admgz_adm2!D:D,ecu_admgz_adm2!C:C)</f>
        <v>Ibarra</v>
      </c>
      <c r="G448" t="str">
        <f t="shared" si="33"/>
        <v>EC1001</v>
      </c>
      <c r="H448" t="str">
        <f t="shared" si="34"/>
        <v>EC10</v>
      </c>
      <c r="I448" t="str">
        <f>_xlfn.XLOOKUP(H448,eci_admgz_adm1!D:D,eci_admgz_adm1!C:C)</f>
        <v>Imbabura</v>
      </c>
      <c r="J448" t="s">
        <v>2021</v>
      </c>
      <c r="K448" s="1" t="s">
        <v>2023</v>
      </c>
    </row>
    <row r="449" spans="1:11" ht="16" x14ac:dyDescent="0.2">
      <c r="A449" t="s">
        <v>873</v>
      </c>
      <c r="B449" t="s">
        <v>874</v>
      </c>
      <c r="C449" t="str">
        <f t="shared" si="31"/>
        <v>La Carolina</v>
      </c>
      <c r="D449" t="str">
        <f t="shared" si="30"/>
        <v>La Carolina</v>
      </c>
      <c r="E449" t="str">
        <f t="shared" si="32"/>
        <v>EC100153</v>
      </c>
      <c r="F449" t="str">
        <f>_xlfn.XLOOKUP(G449,ecu_admgz_adm2!D:D,ecu_admgz_adm2!C:C)</f>
        <v>Ibarra</v>
      </c>
      <c r="G449" t="str">
        <f t="shared" si="33"/>
        <v>EC1001</v>
      </c>
      <c r="H449" t="str">
        <f t="shared" si="34"/>
        <v>EC10</v>
      </c>
      <c r="I449" t="str">
        <f>_xlfn.XLOOKUP(H449,eci_admgz_adm1!D:D,eci_admgz_adm1!C:C)</f>
        <v>Imbabura</v>
      </c>
      <c r="J449" t="s">
        <v>2021</v>
      </c>
      <c r="K449" s="1" t="s">
        <v>2023</v>
      </c>
    </row>
    <row r="450" spans="1:11" ht="16" x14ac:dyDescent="0.2">
      <c r="A450" t="s">
        <v>875</v>
      </c>
      <c r="B450" t="s">
        <v>876</v>
      </c>
      <c r="C450" t="str">
        <f t="shared" si="31"/>
        <v>La Esperanza</v>
      </c>
      <c r="D450" t="str">
        <f t="shared" ref="D450:D513" si="35">SUBSTITUTE(SUBSTITUTE(SUBSTITUTE(SUBSTITUTE(SUBSTITUTE(SUBSTITUTE(PROPER($C450)," De "," de ")," La "," la ")," Del "," del ")," Los "," los ")," Y "," y "),"En","en")</f>
        <v>La Esperanza</v>
      </c>
      <c r="E450" t="str">
        <f t="shared" si="32"/>
        <v>EC100154</v>
      </c>
      <c r="F450" t="str">
        <f>_xlfn.XLOOKUP(G450,ecu_admgz_adm2!D:D,ecu_admgz_adm2!C:C)</f>
        <v>Ibarra</v>
      </c>
      <c r="G450" t="str">
        <f t="shared" si="33"/>
        <v>EC1001</v>
      </c>
      <c r="H450" t="str">
        <f t="shared" si="34"/>
        <v>EC10</v>
      </c>
      <c r="I450" t="str">
        <f>_xlfn.XLOOKUP(H450,eci_admgz_adm1!D:D,eci_admgz_adm1!C:C)</f>
        <v>Imbabura</v>
      </c>
      <c r="J450" t="s">
        <v>2021</v>
      </c>
      <c r="K450" s="1" t="s">
        <v>2023</v>
      </c>
    </row>
    <row r="451" spans="1:11" ht="16" x14ac:dyDescent="0.2">
      <c r="A451" t="s">
        <v>877</v>
      </c>
      <c r="B451" t="s">
        <v>878</v>
      </c>
      <c r="C451" t="str">
        <f t="shared" ref="C451:C514" si="36">PROPER(B451)</f>
        <v>Lita</v>
      </c>
      <c r="D451" t="str">
        <f t="shared" si="35"/>
        <v>Lita</v>
      </c>
      <c r="E451" t="str">
        <f t="shared" ref="E451:E514" si="37">"EC"&amp;A451</f>
        <v>EC100155</v>
      </c>
      <c r="F451" t="str">
        <f>_xlfn.XLOOKUP(G451,ecu_admgz_adm2!D:D,ecu_admgz_adm2!C:C)</f>
        <v>Ibarra</v>
      </c>
      <c r="G451" t="str">
        <f t="shared" ref="G451:G514" si="38">LEFT(E451,6)</f>
        <v>EC1001</v>
      </c>
      <c r="H451" t="str">
        <f t="shared" ref="H451:H514" si="39">LEFT(G451,4)</f>
        <v>EC10</v>
      </c>
      <c r="I451" t="str">
        <f>_xlfn.XLOOKUP(H451,eci_admgz_adm1!D:D,eci_admgz_adm1!C:C)</f>
        <v>Imbabura</v>
      </c>
      <c r="J451" t="s">
        <v>2021</v>
      </c>
      <c r="K451" s="1" t="s">
        <v>2023</v>
      </c>
    </row>
    <row r="452" spans="1:11" ht="16" x14ac:dyDescent="0.2">
      <c r="A452" t="s">
        <v>879</v>
      </c>
      <c r="B452" t="s">
        <v>162</v>
      </c>
      <c r="C452" t="str">
        <f t="shared" si="36"/>
        <v>Salinas</v>
      </c>
      <c r="D452" t="str">
        <f t="shared" si="35"/>
        <v>Salinas</v>
      </c>
      <c r="E452" t="str">
        <f t="shared" si="37"/>
        <v>EC100156</v>
      </c>
      <c r="F452" t="str">
        <f>_xlfn.XLOOKUP(G452,ecu_admgz_adm2!D:D,ecu_admgz_adm2!C:C)</f>
        <v>Ibarra</v>
      </c>
      <c r="G452" t="str">
        <f t="shared" si="38"/>
        <v>EC1001</v>
      </c>
      <c r="H452" t="str">
        <f t="shared" si="39"/>
        <v>EC10</v>
      </c>
      <c r="I452" t="str">
        <f>_xlfn.XLOOKUP(H452,eci_admgz_adm1!D:D,eci_admgz_adm1!C:C)</f>
        <v>Imbabura</v>
      </c>
      <c r="J452" t="s">
        <v>2021</v>
      </c>
      <c r="K452" s="1" t="s">
        <v>2023</v>
      </c>
    </row>
    <row r="453" spans="1:11" ht="16" x14ac:dyDescent="0.2">
      <c r="A453" t="s">
        <v>880</v>
      </c>
      <c r="B453" t="s">
        <v>250</v>
      </c>
      <c r="C453" t="str">
        <f t="shared" si="36"/>
        <v>San Antonio</v>
      </c>
      <c r="D453" t="str">
        <f t="shared" si="35"/>
        <v>San Antonio</v>
      </c>
      <c r="E453" t="str">
        <f t="shared" si="37"/>
        <v>EC100157</v>
      </c>
      <c r="F453" t="str">
        <f>_xlfn.XLOOKUP(G453,ecu_admgz_adm2!D:D,ecu_admgz_adm2!C:C)</f>
        <v>Ibarra</v>
      </c>
      <c r="G453" t="str">
        <f t="shared" si="38"/>
        <v>EC1001</v>
      </c>
      <c r="H453" t="str">
        <f t="shared" si="39"/>
        <v>EC10</v>
      </c>
      <c r="I453" t="str">
        <f>_xlfn.XLOOKUP(H453,eci_admgz_adm1!D:D,eci_admgz_adm1!C:C)</f>
        <v>Imbabura</v>
      </c>
      <c r="J453" t="s">
        <v>2021</v>
      </c>
      <c r="K453" s="1" t="s">
        <v>2023</v>
      </c>
    </row>
    <row r="454" spans="1:11" ht="16" x14ac:dyDescent="0.2">
      <c r="A454" t="s">
        <v>881</v>
      </c>
      <c r="B454" t="s">
        <v>882</v>
      </c>
      <c r="C454" t="str">
        <f t="shared" si="36"/>
        <v>Atuntaqui</v>
      </c>
      <c r="D454" t="str">
        <f t="shared" si="35"/>
        <v>Atuntaqui</v>
      </c>
      <c r="E454" t="str">
        <f t="shared" si="37"/>
        <v>EC100250</v>
      </c>
      <c r="F454" t="str">
        <f>_xlfn.XLOOKUP(G454,ecu_admgz_adm2!D:D,ecu_admgz_adm2!C:C)</f>
        <v>Antonio Ante</v>
      </c>
      <c r="G454" t="str">
        <f t="shared" si="38"/>
        <v>EC1002</v>
      </c>
      <c r="H454" t="str">
        <f t="shared" si="39"/>
        <v>EC10</v>
      </c>
      <c r="I454" t="str">
        <f>_xlfn.XLOOKUP(H454,eci_admgz_adm1!D:D,eci_admgz_adm1!C:C)</f>
        <v>Imbabura</v>
      </c>
      <c r="J454" t="s">
        <v>2021</v>
      </c>
      <c r="K454" s="1" t="s">
        <v>2023</v>
      </c>
    </row>
    <row r="455" spans="1:11" ht="16" x14ac:dyDescent="0.2">
      <c r="A455" t="s">
        <v>883</v>
      </c>
      <c r="B455" t="s">
        <v>884</v>
      </c>
      <c r="C455" t="str">
        <f t="shared" si="36"/>
        <v>Imbaya</v>
      </c>
      <c r="D455" t="str">
        <f t="shared" si="35"/>
        <v>Imbaya</v>
      </c>
      <c r="E455" t="str">
        <f t="shared" si="37"/>
        <v>EC100251</v>
      </c>
      <c r="F455" t="str">
        <f>_xlfn.XLOOKUP(G455,ecu_admgz_adm2!D:D,ecu_admgz_adm2!C:C)</f>
        <v>Antonio Ante</v>
      </c>
      <c r="G455" t="str">
        <f t="shared" si="38"/>
        <v>EC1002</v>
      </c>
      <c r="H455" t="str">
        <f t="shared" si="39"/>
        <v>EC10</v>
      </c>
      <c r="I455" t="str">
        <f>_xlfn.XLOOKUP(H455,eci_admgz_adm1!D:D,eci_admgz_adm1!C:C)</f>
        <v>Imbabura</v>
      </c>
      <c r="J455" t="s">
        <v>2021</v>
      </c>
      <c r="K455" s="1" t="s">
        <v>2023</v>
      </c>
    </row>
    <row r="456" spans="1:11" ht="16" x14ac:dyDescent="0.2">
      <c r="A456" t="s">
        <v>885</v>
      </c>
      <c r="B456" t="s">
        <v>886</v>
      </c>
      <c r="C456" t="str">
        <f t="shared" si="36"/>
        <v>San Francisco De Natabuela</v>
      </c>
      <c r="D456" t="str">
        <f t="shared" si="35"/>
        <v>San Francisco de Natabuela</v>
      </c>
      <c r="E456" t="str">
        <f t="shared" si="37"/>
        <v>EC100252</v>
      </c>
      <c r="F456" t="str">
        <f>_xlfn.XLOOKUP(G456,ecu_admgz_adm2!D:D,ecu_admgz_adm2!C:C)</f>
        <v>Antonio Ante</v>
      </c>
      <c r="G456" t="str">
        <f t="shared" si="38"/>
        <v>EC1002</v>
      </c>
      <c r="H456" t="str">
        <f t="shared" si="39"/>
        <v>EC10</v>
      </c>
      <c r="I456" t="str">
        <f>_xlfn.XLOOKUP(H456,eci_admgz_adm1!D:D,eci_admgz_adm1!C:C)</f>
        <v>Imbabura</v>
      </c>
      <c r="J456" t="s">
        <v>2021</v>
      </c>
      <c r="K456" s="1" t="s">
        <v>2023</v>
      </c>
    </row>
    <row r="457" spans="1:11" ht="16" x14ac:dyDescent="0.2">
      <c r="A457" t="s">
        <v>887</v>
      </c>
      <c r="B457" t="s">
        <v>888</v>
      </c>
      <c r="C457" t="str">
        <f t="shared" si="36"/>
        <v>San José De Chaltura</v>
      </c>
      <c r="D457" t="str">
        <f t="shared" si="35"/>
        <v>San José de Chaltura</v>
      </c>
      <c r="E457" t="str">
        <f t="shared" si="37"/>
        <v>EC100253</v>
      </c>
      <c r="F457" t="str">
        <f>_xlfn.XLOOKUP(G457,ecu_admgz_adm2!D:D,ecu_admgz_adm2!C:C)</f>
        <v>Antonio Ante</v>
      </c>
      <c r="G457" t="str">
        <f t="shared" si="38"/>
        <v>EC1002</v>
      </c>
      <c r="H457" t="str">
        <f t="shared" si="39"/>
        <v>EC10</v>
      </c>
      <c r="I457" t="str">
        <f>_xlfn.XLOOKUP(H457,eci_admgz_adm1!D:D,eci_admgz_adm1!C:C)</f>
        <v>Imbabura</v>
      </c>
      <c r="J457" t="s">
        <v>2021</v>
      </c>
      <c r="K457" s="1" t="s">
        <v>2023</v>
      </c>
    </row>
    <row r="458" spans="1:11" ht="16" x14ac:dyDescent="0.2">
      <c r="A458" t="s">
        <v>889</v>
      </c>
      <c r="B458" t="s">
        <v>594</v>
      </c>
      <c r="C458" t="str">
        <f t="shared" si="36"/>
        <v>San Roque</v>
      </c>
      <c r="D458" t="str">
        <f t="shared" si="35"/>
        <v>San Roque</v>
      </c>
      <c r="E458" t="str">
        <f t="shared" si="37"/>
        <v>EC100254</v>
      </c>
      <c r="F458" t="str">
        <f>_xlfn.XLOOKUP(G458,ecu_admgz_adm2!D:D,ecu_admgz_adm2!C:C)</f>
        <v>Antonio Ante</v>
      </c>
      <c r="G458" t="str">
        <f t="shared" si="38"/>
        <v>EC1002</v>
      </c>
      <c r="H458" t="str">
        <f t="shared" si="39"/>
        <v>EC10</v>
      </c>
      <c r="I458" t="str">
        <f>_xlfn.XLOOKUP(H458,eci_admgz_adm1!D:D,eci_admgz_adm1!C:C)</f>
        <v>Imbabura</v>
      </c>
      <c r="J458" t="s">
        <v>2021</v>
      </c>
      <c r="K458" s="1" t="s">
        <v>2023</v>
      </c>
    </row>
    <row r="459" spans="1:11" ht="16" x14ac:dyDescent="0.2">
      <c r="A459" t="s">
        <v>890</v>
      </c>
      <c r="B459" t="s">
        <v>891</v>
      </c>
      <c r="C459" t="str">
        <f t="shared" si="36"/>
        <v>Cotacachi</v>
      </c>
      <c r="D459" t="str">
        <f t="shared" si="35"/>
        <v>Cotacachi</v>
      </c>
      <c r="E459" t="str">
        <f t="shared" si="37"/>
        <v>EC100350</v>
      </c>
      <c r="F459" t="str">
        <f>_xlfn.XLOOKUP(G459,ecu_admgz_adm2!D:D,ecu_admgz_adm2!C:C)</f>
        <v>Cotacachi</v>
      </c>
      <c r="G459" t="str">
        <f t="shared" si="38"/>
        <v>EC1003</v>
      </c>
      <c r="H459" t="str">
        <f t="shared" si="39"/>
        <v>EC10</v>
      </c>
      <c r="I459" t="str">
        <f>_xlfn.XLOOKUP(H459,eci_admgz_adm1!D:D,eci_admgz_adm1!C:C)</f>
        <v>Imbabura</v>
      </c>
      <c r="J459" t="s">
        <v>2021</v>
      </c>
      <c r="K459" s="1" t="s">
        <v>2023</v>
      </c>
    </row>
    <row r="460" spans="1:11" ht="16" x14ac:dyDescent="0.2">
      <c r="A460" t="s">
        <v>892</v>
      </c>
      <c r="B460" t="s">
        <v>893</v>
      </c>
      <c r="C460" t="str">
        <f t="shared" si="36"/>
        <v>Apuela</v>
      </c>
      <c r="D460" t="str">
        <f t="shared" si="35"/>
        <v>Apuela</v>
      </c>
      <c r="E460" t="str">
        <f t="shared" si="37"/>
        <v>EC100351</v>
      </c>
      <c r="F460" t="str">
        <f>_xlfn.XLOOKUP(G460,ecu_admgz_adm2!D:D,ecu_admgz_adm2!C:C)</f>
        <v>Cotacachi</v>
      </c>
      <c r="G460" t="str">
        <f t="shared" si="38"/>
        <v>EC1003</v>
      </c>
      <c r="H460" t="str">
        <f t="shared" si="39"/>
        <v>EC10</v>
      </c>
      <c r="I460" t="str">
        <f>_xlfn.XLOOKUP(H460,eci_admgz_adm1!D:D,eci_admgz_adm1!C:C)</f>
        <v>Imbabura</v>
      </c>
      <c r="J460" t="s">
        <v>2021</v>
      </c>
      <c r="K460" s="1" t="s">
        <v>2023</v>
      </c>
    </row>
    <row r="461" spans="1:11" ht="16" x14ac:dyDescent="0.2">
      <c r="A461" t="s">
        <v>894</v>
      </c>
      <c r="B461" t="s">
        <v>293</v>
      </c>
      <c r="C461" t="str">
        <f t="shared" si="36"/>
        <v>García Moreno</v>
      </c>
      <c r="D461" t="str">
        <f t="shared" si="35"/>
        <v>García Moreno</v>
      </c>
      <c r="E461" t="str">
        <f t="shared" si="37"/>
        <v>EC100352</v>
      </c>
      <c r="F461" t="str">
        <f>_xlfn.XLOOKUP(G461,ecu_admgz_adm2!D:D,ecu_admgz_adm2!C:C)</f>
        <v>Cotacachi</v>
      </c>
      <c r="G461" t="str">
        <f t="shared" si="38"/>
        <v>EC1003</v>
      </c>
      <c r="H461" t="str">
        <f t="shared" si="39"/>
        <v>EC10</v>
      </c>
      <c r="I461" t="str">
        <f>_xlfn.XLOOKUP(H461,eci_admgz_adm1!D:D,eci_admgz_adm1!C:C)</f>
        <v>Imbabura</v>
      </c>
      <c r="J461" t="s">
        <v>2021</v>
      </c>
      <c r="K461" s="1" t="s">
        <v>2023</v>
      </c>
    </row>
    <row r="462" spans="1:11" ht="16" x14ac:dyDescent="0.2">
      <c r="A462" t="s">
        <v>895</v>
      </c>
      <c r="B462" t="s">
        <v>896</v>
      </c>
      <c r="C462" t="str">
        <f t="shared" si="36"/>
        <v>Imantag</v>
      </c>
      <c r="D462" t="str">
        <f t="shared" si="35"/>
        <v>Imantag</v>
      </c>
      <c r="E462" t="str">
        <f t="shared" si="37"/>
        <v>EC100353</v>
      </c>
      <c r="F462" t="str">
        <f>_xlfn.XLOOKUP(G462,ecu_admgz_adm2!D:D,ecu_admgz_adm2!C:C)</f>
        <v>Cotacachi</v>
      </c>
      <c r="G462" t="str">
        <f t="shared" si="38"/>
        <v>EC1003</v>
      </c>
      <c r="H462" t="str">
        <f t="shared" si="39"/>
        <v>EC10</v>
      </c>
      <c r="I462" t="str">
        <f>_xlfn.XLOOKUP(H462,eci_admgz_adm1!D:D,eci_admgz_adm1!C:C)</f>
        <v>Imbabura</v>
      </c>
      <c r="J462" t="s">
        <v>2021</v>
      </c>
      <c r="K462" s="1" t="s">
        <v>2023</v>
      </c>
    </row>
    <row r="463" spans="1:11" ht="16" x14ac:dyDescent="0.2">
      <c r="A463" t="s">
        <v>897</v>
      </c>
      <c r="B463" t="s">
        <v>898</v>
      </c>
      <c r="C463" t="str">
        <f t="shared" si="36"/>
        <v>Peñaherrera</v>
      </c>
      <c r="D463" t="str">
        <f t="shared" si="35"/>
        <v>Peñaherrera</v>
      </c>
      <c r="E463" t="str">
        <f t="shared" si="37"/>
        <v>EC100354</v>
      </c>
      <c r="F463" t="str">
        <f>_xlfn.XLOOKUP(G463,ecu_admgz_adm2!D:D,ecu_admgz_adm2!C:C)</f>
        <v>Cotacachi</v>
      </c>
      <c r="G463" t="str">
        <f t="shared" si="38"/>
        <v>EC1003</v>
      </c>
      <c r="H463" t="str">
        <f t="shared" si="39"/>
        <v>EC10</v>
      </c>
      <c r="I463" t="str">
        <f>_xlfn.XLOOKUP(H463,eci_admgz_adm1!D:D,eci_admgz_adm1!C:C)</f>
        <v>Imbabura</v>
      </c>
      <c r="J463" t="s">
        <v>2021</v>
      </c>
      <c r="K463" s="1" t="s">
        <v>2023</v>
      </c>
    </row>
    <row r="464" spans="1:11" ht="16" x14ac:dyDescent="0.2">
      <c r="A464" t="s">
        <v>899</v>
      </c>
      <c r="B464" t="s">
        <v>900</v>
      </c>
      <c r="C464" t="str">
        <f t="shared" si="36"/>
        <v>Plaza Gutiérrez</v>
      </c>
      <c r="D464" t="str">
        <f t="shared" si="35"/>
        <v>Plaza Gutiérrez</v>
      </c>
      <c r="E464" t="str">
        <f t="shared" si="37"/>
        <v>EC100355</v>
      </c>
      <c r="F464" t="str">
        <f>_xlfn.XLOOKUP(G464,ecu_admgz_adm2!D:D,ecu_admgz_adm2!C:C)</f>
        <v>Cotacachi</v>
      </c>
      <c r="G464" t="str">
        <f t="shared" si="38"/>
        <v>EC1003</v>
      </c>
      <c r="H464" t="str">
        <f t="shared" si="39"/>
        <v>EC10</v>
      </c>
      <c r="I464" t="str">
        <f>_xlfn.XLOOKUP(H464,eci_admgz_adm1!D:D,eci_admgz_adm1!C:C)</f>
        <v>Imbabura</v>
      </c>
      <c r="J464" t="s">
        <v>2021</v>
      </c>
      <c r="K464" s="1" t="s">
        <v>2023</v>
      </c>
    </row>
    <row r="465" spans="1:11" ht="16" x14ac:dyDescent="0.2">
      <c r="A465" t="s">
        <v>901</v>
      </c>
      <c r="B465" t="s">
        <v>902</v>
      </c>
      <c r="C465" t="str">
        <f t="shared" si="36"/>
        <v>Quiroga</v>
      </c>
      <c r="D465" t="str">
        <f t="shared" si="35"/>
        <v>Quiroga</v>
      </c>
      <c r="E465" t="str">
        <f t="shared" si="37"/>
        <v>EC100356</v>
      </c>
      <c r="F465" t="str">
        <f>_xlfn.XLOOKUP(G465,ecu_admgz_adm2!D:D,ecu_admgz_adm2!C:C)</f>
        <v>Cotacachi</v>
      </c>
      <c r="G465" t="str">
        <f t="shared" si="38"/>
        <v>EC1003</v>
      </c>
      <c r="H465" t="str">
        <f t="shared" si="39"/>
        <v>EC10</v>
      </c>
      <c r="I465" t="str">
        <f>_xlfn.XLOOKUP(H465,eci_admgz_adm1!D:D,eci_admgz_adm1!C:C)</f>
        <v>Imbabura</v>
      </c>
      <c r="J465" t="s">
        <v>2021</v>
      </c>
      <c r="K465" s="1" t="s">
        <v>2023</v>
      </c>
    </row>
    <row r="466" spans="1:11" ht="16" x14ac:dyDescent="0.2">
      <c r="A466" t="s">
        <v>903</v>
      </c>
      <c r="B466" t="s">
        <v>904</v>
      </c>
      <c r="C466" t="str">
        <f t="shared" si="36"/>
        <v>Seis De Julio De Cuellaje</v>
      </c>
      <c r="D466" t="str">
        <f t="shared" si="35"/>
        <v>Seis de Julio de Cuellaje</v>
      </c>
      <c r="E466" t="str">
        <f t="shared" si="37"/>
        <v>EC100357</v>
      </c>
      <c r="F466" t="str">
        <f>_xlfn.XLOOKUP(G466,ecu_admgz_adm2!D:D,ecu_admgz_adm2!C:C)</f>
        <v>Cotacachi</v>
      </c>
      <c r="G466" t="str">
        <f t="shared" si="38"/>
        <v>EC1003</v>
      </c>
      <c r="H466" t="str">
        <f t="shared" si="39"/>
        <v>EC10</v>
      </c>
      <c r="I466" t="str">
        <f>_xlfn.XLOOKUP(H466,eci_admgz_adm1!D:D,eci_admgz_adm1!C:C)</f>
        <v>Imbabura</v>
      </c>
      <c r="J466" t="s">
        <v>2021</v>
      </c>
      <c r="K466" s="1" t="s">
        <v>2023</v>
      </c>
    </row>
    <row r="467" spans="1:11" ht="16" x14ac:dyDescent="0.2">
      <c r="A467" t="s">
        <v>905</v>
      </c>
      <c r="B467" t="s">
        <v>906</v>
      </c>
      <c r="C467" t="str">
        <f t="shared" si="36"/>
        <v>Vacas Galindo</v>
      </c>
      <c r="D467" t="str">
        <f t="shared" si="35"/>
        <v>Vacas Galindo</v>
      </c>
      <c r="E467" t="str">
        <f t="shared" si="37"/>
        <v>EC100358</v>
      </c>
      <c r="F467" t="str">
        <f>_xlfn.XLOOKUP(G467,ecu_admgz_adm2!D:D,ecu_admgz_adm2!C:C)</f>
        <v>Cotacachi</v>
      </c>
      <c r="G467" t="str">
        <f t="shared" si="38"/>
        <v>EC1003</v>
      </c>
      <c r="H467" t="str">
        <f t="shared" si="39"/>
        <v>EC10</v>
      </c>
      <c r="I467" t="str">
        <f>_xlfn.XLOOKUP(H467,eci_admgz_adm1!D:D,eci_admgz_adm1!C:C)</f>
        <v>Imbabura</v>
      </c>
      <c r="J467" t="s">
        <v>2021</v>
      </c>
      <c r="K467" s="1" t="s">
        <v>2023</v>
      </c>
    </row>
    <row r="468" spans="1:11" ht="16" x14ac:dyDescent="0.2">
      <c r="A468" t="s">
        <v>907</v>
      </c>
      <c r="B468" t="s">
        <v>908</v>
      </c>
      <c r="C468" t="str">
        <f t="shared" si="36"/>
        <v>Otavalo</v>
      </c>
      <c r="D468" t="str">
        <f t="shared" si="35"/>
        <v>Otavalo</v>
      </c>
      <c r="E468" t="str">
        <f t="shared" si="37"/>
        <v>EC100450</v>
      </c>
      <c r="F468" t="str">
        <f>_xlfn.XLOOKUP(G468,ecu_admgz_adm2!D:D,ecu_admgz_adm2!C:C)</f>
        <v>Otavalo</v>
      </c>
      <c r="G468" t="str">
        <f t="shared" si="38"/>
        <v>EC1004</v>
      </c>
      <c r="H468" t="str">
        <f t="shared" si="39"/>
        <v>EC10</v>
      </c>
      <c r="I468" t="str">
        <f>_xlfn.XLOOKUP(H468,eci_admgz_adm1!D:D,eci_admgz_adm1!C:C)</f>
        <v>Imbabura</v>
      </c>
      <c r="J468" t="s">
        <v>2021</v>
      </c>
      <c r="K468" s="1" t="s">
        <v>2023</v>
      </c>
    </row>
    <row r="469" spans="1:11" ht="16" x14ac:dyDescent="0.2">
      <c r="A469" t="s">
        <v>909</v>
      </c>
      <c r="B469" t="s">
        <v>910</v>
      </c>
      <c r="C469" t="str">
        <f t="shared" si="36"/>
        <v>Dr. Miguel Egas Cabezas</v>
      </c>
      <c r="D469" t="str">
        <f t="shared" si="35"/>
        <v>Dr. Miguel Egas Cabezas</v>
      </c>
      <c r="E469" t="str">
        <f t="shared" si="37"/>
        <v>EC100451</v>
      </c>
      <c r="F469" t="str">
        <f>_xlfn.XLOOKUP(G469,ecu_admgz_adm2!D:D,ecu_admgz_adm2!C:C)</f>
        <v>Otavalo</v>
      </c>
      <c r="G469" t="str">
        <f t="shared" si="38"/>
        <v>EC1004</v>
      </c>
      <c r="H469" t="str">
        <f t="shared" si="39"/>
        <v>EC10</v>
      </c>
      <c r="I469" t="str">
        <f>_xlfn.XLOOKUP(H469,eci_admgz_adm1!D:D,eci_admgz_adm1!C:C)</f>
        <v>Imbabura</v>
      </c>
      <c r="J469" t="s">
        <v>2021</v>
      </c>
      <c r="K469" s="1" t="s">
        <v>2023</v>
      </c>
    </row>
    <row r="470" spans="1:11" ht="16" x14ac:dyDescent="0.2">
      <c r="A470" t="s">
        <v>911</v>
      </c>
      <c r="B470" t="s">
        <v>912</v>
      </c>
      <c r="C470" t="str">
        <f t="shared" si="36"/>
        <v>Eugenio Espejo</v>
      </c>
      <c r="D470" t="str">
        <f t="shared" si="35"/>
        <v>Eugenio Espejo</v>
      </c>
      <c r="E470" t="str">
        <f t="shared" si="37"/>
        <v>EC100452</v>
      </c>
      <c r="F470" t="str">
        <f>_xlfn.XLOOKUP(G470,ecu_admgz_adm2!D:D,ecu_admgz_adm2!C:C)</f>
        <v>Otavalo</v>
      </c>
      <c r="G470" t="str">
        <f t="shared" si="38"/>
        <v>EC1004</v>
      </c>
      <c r="H470" t="str">
        <f t="shared" si="39"/>
        <v>EC10</v>
      </c>
      <c r="I470" t="str">
        <f>_xlfn.XLOOKUP(H470,eci_admgz_adm1!D:D,eci_admgz_adm1!C:C)</f>
        <v>Imbabura</v>
      </c>
      <c r="J470" t="s">
        <v>2021</v>
      </c>
      <c r="K470" s="1" t="s">
        <v>2023</v>
      </c>
    </row>
    <row r="471" spans="1:11" ht="16" x14ac:dyDescent="0.2">
      <c r="A471" t="s">
        <v>913</v>
      </c>
      <c r="B471" t="s">
        <v>914</v>
      </c>
      <c r="C471" t="str">
        <f t="shared" si="36"/>
        <v>González Suárez</v>
      </c>
      <c r="D471" t="str">
        <f t="shared" si="35"/>
        <v>González Suárez</v>
      </c>
      <c r="E471" t="str">
        <f t="shared" si="37"/>
        <v>EC100453</v>
      </c>
      <c r="F471" t="str">
        <f>_xlfn.XLOOKUP(G471,ecu_admgz_adm2!D:D,ecu_admgz_adm2!C:C)</f>
        <v>Otavalo</v>
      </c>
      <c r="G471" t="str">
        <f t="shared" si="38"/>
        <v>EC1004</v>
      </c>
      <c r="H471" t="str">
        <f t="shared" si="39"/>
        <v>EC10</v>
      </c>
      <c r="I471" t="str">
        <f>_xlfn.XLOOKUP(H471,eci_admgz_adm1!D:D,eci_admgz_adm1!C:C)</f>
        <v>Imbabura</v>
      </c>
      <c r="J471" t="s">
        <v>2021</v>
      </c>
      <c r="K471" s="1" t="s">
        <v>2023</v>
      </c>
    </row>
    <row r="472" spans="1:11" ht="16" x14ac:dyDescent="0.2">
      <c r="A472" t="s">
        <v>915</v>
      </c>
      <c r="B472" t="s">
        <v>916</v>
      </c>
      <c r="C472" t="str">
        <f t="shared" si="36"/>
        <v>Pataquí</v>
      </c>
      <c r="D472" t="str">
        <f t="shared" si="35"/>
        <v>Pataquí</v>
      </c>
      <c r="E472" t="str">
        <f t="shared" si="37"/>
        <v>EC100454</v>
      </c>
      <c r="F472" t="str">
        <f>_xlfn.XLOOKUP(G472,ecu_admgz_adm2!D:D,ecu_admgz_adm2!C:C)</f>
        <v>Otavalo</v>
      </c>
      <c r="G472" t="str">
        <f t="shared" si="38"/>
        <v>EC1004</v>
      </c>
      <c r="H472" t="str">
        <f t="shared" si="39"/>
        <v>EC10</v>
      </c>
      <c r="I472" t="str">
        <f>_xlfn.XLOOKUP(H472,eci_admgz_adm1!D:D,eci_admgz_adm1!C:C)</f>
        <v>Imbabura</v>
      </c>
      <c r="J472" t="s">
        <v>2021</v>
      </c>
      <c r="K472" s="1" t="s">
        <v>2023</v>
      </c>
    </row>
    <row r="473" spans="1:11" ht="16" x14ac:dyDescent="0.2">
      <c r="A473" t="s">
        <v>917</v>
      </c>
      <c r="B473" t="s">
        <v>918</v>
      </c>
      <c r="C473" t="str">
        <f t="shared" si="36"/>
        <v>San José De Quichinche</v>
      </c>
      <c r="D473" t="str">
        <f t="shared" si="35"/>
        <v>San José de Quichinche</v>
      </c>
      <c r="E473" t="str">
        <f t="shared" si="37"/>
        <v>EC100455</v>
      </c>
      <c r="F473" t="str">
        <f>_xlfn.XLOOKUP(G473,ecu_admgz_adm2!D:D,ecu_admgz_adm2!C:C)</f>
        <v>Otavalo</v>
      </c>
      <c r="G473" t="str">
        <f t="shared" si="38"/>
        <v>EC1004</v>
      </c>
      <c r="H473" t="str">
        <f t="shared" si="39"/>
        <v>EC10</v>
      </c>
      <c r="I473" t="str">
        <f>_xlfn.XLOOKUP(H473,eci_admgz_adm1!D:D,eci_admgz_adm1!C:C)</f>
        <v>Imbabura</v>
      </c>
      <c r="J473" t="s">
        <v>2021</v>
      </c>
      <c r="K473" s="1" t="s">
        <v>2023</v>
      </c>
    </row>
    <row r="474" spans="1:11" ht="16" x14ac:dyDescent="0.2">
      <c r="A474" t="s">
        <v>919</v>
      </c>
      <c r="B474" t="s">
        <v>920</v>
      </c>
      <c r="C474" t="str">
        <f t="shared" si="36"/>
        <v>San Juan De Ilumán</v>
      </c>
      <c r="D474" t="str">
        <f t="shared" si="35"/>
        <v>San Juan de Ilumán</v>
      </c>
      <c r="E474" t="str">
        <f t="shared" si="37"/>
        <v>EC100456</v>
      </c>
      <c r="F474" t="str">
        <f>_xlfn.XLOOKUP(G474,ecu_admgz_adm2!D:D,ecu_admgz_adm2!C:C)</f>
        <v>Otavalo</v>
      </c>
      <c r="G474" t="str">
        <f t="shared" si="38"/>
        <v>EC1004</v>
      </c>
      <c r="H474" t="str">
        <f t="shared" si="39"/>
        <v>EC10</v>
      </c>
      <c r="I474" t="str">
        <f>_xlfn.XLOOKUP(H474,eci_admgz_adm1!D:D,eci_admgz_adm1!C:C)</f>
        <v>Imbabura</v>
      </c>
      <c r="J474" t="s">
        <v>2021</v>
      </c>
      <c r="K474" s="1" t="s">
        <v>2023</v>
      </c>
    </row>
    <row r="475" spans="1:11" ht="16" x14ac:dyDescent="0.2">
      <c r="A475" t="s">
        <v>921</v>
      </c>
      <c r="B475" t="s">
        <v>198</v>
      </c>
      <c r="C475" t="str">
        <f t="shared" si="36"/>
        <v>San Pablo</v>
      </c>
      <c r="D475" t="str">
        <f t="shared" si="35"/>
        <v>San Pablo</v>
      </c>
      <c r="E475" t="str">
        <f t="shared" si="37"/>
        <v>EC100457</v>
      </c>
      <c r="F475" t="str">
        <f>_xlfn.XLOOKUP(G475,ecu_admgz_adm2!D:D,ecu_admgz_adm2!C:C)</f>
        <v>Otavalo</v>
      </c>
      <c r="G475" t="str">
        <f t="shared" si="38"/>
        <v>EC1004</v>
      </c>
      <c r="H475" t="str">
        <f t="shared" si="39"/>
        <v>EC10</v>
      </c>
      <c r="I475" t="str">
        <f>_xlfn.XLOOKUP(H475,eci_admgz_adm1!D:D,eci_admgz_adm1!C:C)</f>
        <v>Imbabura</v>
      </c>
      <c r="J475" t="s">
        <v>2021</v>
      </c>
      <c r="K475" s="1" t="s">
        <v>2023</v>
      </c>
    </row>
    <row r="476" spans="1:11" ht="16" x14ac:dyDescent="0.2">
      <c r="A476" t="s">
        <v>922</v>
      </c>
      <c r="B476" t="s">
        <v>301</v>
      </c>
      <c r="C476" t="str">
        <f t="shared" si="36"/>
        <v>San Rafael</v>
      </c>
      <c r="D476" t="str">
        <f t="shared" si="35"/>
        <v>San Rafael</v>
      </c>
      <c r="E476" t="str">
        <f t="shared" si="37"/>
        <v>EC100458</v>
      </c>
      <c r="F476" t="str">
        <f>_xlfn.XLOOKUP(G476,ecu_admgz_adm2!D:D,ecu_admgz_adm2!C:C)</f>
        <v>Otavalo</v>
      </c>
      <c r="G476" t="str">
        <f t="shared" si="38"/>
        <v>EC1004</v>
      </c>
      <c r="H476" t="str">
        <f t="shared" si="39"/>
        <v>EC10</v>
      </c>
      <c r="I476" t="str">
        <f>_xlfn.XLOOKUP(H476,eci_admgz_adm1!D:D,eci_admgz_adm1!C:C)</f>
        <v>Imbabura</v>
      </c>
      <c r="J476" t="s">
        <v>2021</v>
      </c>
      <c r="K476" s="1" t="s">
        <v>2023</v>
      </c>
    </row>
    <row r="477" spans="1:11" ht="16" x14ac:dyDescent="0.2">
      <c r="A477" t="s">
        <v>923</v>
      </c>
      <c r="B477" t="s">
        <v>682</v>
      </c>
      <c r="C477" t="str">
        <f t="shared" si="36"/>
        <v>Selva Alegre</v>
      </c>
      <c r="D477" t="str">
        <f t="shared" si="35"/>
        <v>Selva Alegre</v>
      </c>
      <c r="E477" t="str">
        <f t="shared" si="37"/>
        <v>EC100459</v>
      </c>
      <c r="F477" t="str">
        <f>_xlfn.XLOOKUP(G477,ecu_admgz_adm2!D:D,ecu_admgz_adm2!C:C)</f>
        <v>Otavalo</v>
      </c>
      <c r="G477" t="str">
        <f t="shared" si="38"/>
        <v>EC1004</v>
      </c>
      <c r="H477" t="str">
        <f t="shared" si="39"/>
        <v>EC10</v>
      </c>
      <c r="I477" t="str">
        <f>_xlfn.XLOOKUP(H477,eci_admgz_adm1!D:D,eci_admgz_adm1!C:C)</f>
        <v>Imbabura</v>
      </c>
      <c r="J477" t="s">
        <v>2021</v>
      </c>
      <c r="K477" s="1" t="s">
        <v>2023</v>
      </c>
    </row>
    <row r="478" spans="1:11" ht="16" x14ac:dyDescent="0.2">
      <c r="A478" t="s">
        <v>924</v>
      </c>
      <c r="B478" t="s">
        <v>925</v>
      </c>
      <c r="C478" t="str">
        <f t="shared" si="36"/>
        <v>Pimampiro</v>
      </c>
      <c r="D478" t="str">
        <f t="shared" si="35"/>
        <v>Pimampiro</v>
      </c>
      <c r="E478" t="str">
        <f t="shared" si="37"/>
        <v>EC100550</v>
      </c>
      <c r="F478" t="str">
        <f>_xlfn.XLOOKUP(G478,ecu_admgz_adm2!D:D,ecu_admgz_adm2!C:C)</f>
        <v>Pimampiro</v>
      </c>
      <c r="G478" t="str">
        <f t="shared" si="38"/>
        <v>EC1005</v>
      </c>
      <c r="H478" t="str">
        <f t="shared" si="39"/>
        <v>EC10</v>
      </c>
      <c r="I478" t="str">
        <f>_xlfn.XLOOKUP(H478,eci_admgz_adm1!D:D,eci_admgz_adm1!C:C)</f>
        <v>Imbabura</v>
      </c>
      <c r="J478" t="s">
        <v>2021</v>
      </c>
      <c r="K478" s="1" t="s">
        <v>2023</v>
      </c>
    </row>
    <row r="479" spans="1:11" ht="16" x14ac:dyDescent="0.2">
      <c r="A479" t="s">
        <v>926</v>
      </c>
      <c r="B479" t="s">
        <v>927</v>
      </c>
      <c r="C479" t="str">
        <f t="shared" si="36"/>
        <v>Chugá</v>
      </c>
      <c r="D479" t="str">
        <f t="shared" si="35"/>
        <v>Chugá</v>
      </c>
      <c r="E479" t="str">
        <f t="shared" si="37"/>
        <v>EC100551</v>
      </c>
      <c r="F479" t="str">
        <f>_xlfn.XLOOKUP(G479,ecu_admgz_adm2!D:D,ecu_admgz_adm2!C:C)</f>
        <v>Pimampiro</v>
      </c>
      <c r="G479" t="str">
        <f t="shared" si="38"/>
        <v>EC1005</v>
      </c>
      <c r="H479" t="str">
        <f t="shared" si="39"/>
        <v>EC10</v>
      </c>
      <c r="I479" t="str">
        <f>_xlfn.XLOOKUP(H479,eci_admgz_adm1!D:D,eci_admgz_adm1!C:C)</f>
        <v>Imbabura</v>
      </c>
      <c r="J479" t="s">
        <v>2021</v>
      </c>
      <c r="K479" s="1" t="s">
        <v>2023</v>
      </c>
    </row>
    <row r="480" spans="1:11" ht="16" x14ac:dyDescent="0.2">
      <c r="A480" t="s">
        <v>928</v>
      </c>
      <c r="B480" t="s">
        <v>929</v>
      </c>
      <c r="C480" t="str">
        <f t="shared" si="36"/>
        <v>Mariano Acosta</v>
      </c>
      <c r="D480" t="str">
        <f t="shared" si="35"/>
        <v>Mariano Acosta</v>
      </c>
      <c r="E480" t="str">
        <f t="shared" si="37"/>
        <v>EC100552</v>
      </c>
      <c r="F480" t="str">
        <f>_xlfn.XLOOKUP(G480,ecu_admgz_adm2!D:D,ecu_admgz_adm2!C:C)</f>
        <v>Pimampiro</v>
      </c>
      <c r="G480" t="str">
        <f t="shared" si="38"/>
        <v>EC1005</v>
      </c>
      <c r="H480" t="str">
        <f t="shared" si="39"/>
        <v>EC10</v>
      </c>
      <c r="I480" t="str">
        <f>_xlfn.XLOOKUP(H480,eci_admgz_adm1!D:D,eci_admgz_adm1!C:C)</f>
        <v>Imbabura</v>
      </c>
      <c r="J480" t="s">
        <v>2021</v>
      </c>
      <c r="K480" s="1" t="s">
        <v>2023</v>
      </c>
    </row>
    <row r="481" spans="1:11" ht="16" x14ac:dyDescent="0.2">
      <c r="A481" t="s">
        <v>930</v>
      </c>
      <c r="B481" t="s">
        <v>931</v>
      </c>
      <c r="C481" t="str">
        <f t="shared" si="36"/>
        <v>San Francisco De Sigsipamba</v>
      </c>
      <c r="D481" t="str">
        <f t="shared" si="35"/>
        <v>San Francisco de Sigsipamba</v>
      </c>
      <c r="E481" t="str">
        <f t="shared" si="37"/>
        <v>EC100553</v>
      </c>
      <c r="F481" t="str">
        <f>_xlfn.XLOOKUP(G481,ecu_admgz_adm2!D:D,ecu_admgz_adm2!C:C)</f>
        <v>Pimampiro</v>
      </c>
      <c r="G481" t="str">
        <f t="shared" si="38"/>
        <v>EC1005</v>
      </c>
      <c r="H481" t="str">
        <f t="shared" si="39"/>
        <v>EC10</v>
      </c>
      <c r="I481" t="str">
        <f>_xlfn.XLOOKUP(H481,eci_admgz_adm1!D:D,eci_admgz_adm1!C:C)</f>
        <v>Imbabura</v>
      </c>
      <c r="J481" t="s">
        <v>2021</v>
      </c>
      <c r="K481" s="1" t="s">
        <v>2023</v>
      </c>
    </row>
    <row r="482" spans="1:11" ht="16" x14ac:dyDescent="0.2">
      <c r="A482" t="s">
        <v>932</v>
      </c>
      <c r="B482" t="s">
        <v>933</v>
      </c>
      <c r="C482" t="str">
        <f t="shared" si="36"/>
        <v>Urcuquí</v>
      </c>
      <c r="D482" t="str">
        <f t="shared" si="35"/>
        <v>Urcuquí</v>
      </c>
      <c r="E482" t="str">
        <f t="shared" si="37"/>
        <v>EC100650</v>
      </c>
      <c r="F482" t="str">
        <f>_xlfn.XLOOKUP(G482,ecu_admgz_adm2!D:D,ecu_admgz_adm2!C:C)</f>
        <v>San Miguel de Urcuquí</v>
      </c>
      <c r="G482" t="str">
        <f t="shared" si="38"/>
        <v>EC1006</v>
      </c>
      <c r="H482" t="str">
        <f t="shared" si="39"/>
        <v>EC10</v>
      </c>
      <c r="I482" t="str">
        <f>_xlfn.XLOOKUP(H482,eci_admgz_adm1!D:D,eci_admgz_adm1!C:C)</f>
        <v>Imbabura</v>
      </c>
      <c r="J482" t="s">
        <v>2021</v>
      </c>
      <c r="K482" s="1" t="s">
        <v>2023</v>
      </c>
    </row>
    <row r="483" spans="1:11" ht="16" x14ac:dyDescent="0.2">
      <c r="A483" t="s">
        <v>934</v>
      </c>
      <c r="B483" t="s">
        <v>935</v>
      </c>
      <c r="C483" t="str">
        <f t="shared" si="36"/>
        <v>Cahuasquí</v>
      </c>
      <c r="D483" t="str">
        <f t="shared" si="35"/>
        <v>Cahuasquí</v>
      </c>
      <c r="E483" t="str">
        <f t="shared" si="37"/>
        <v>EC100651</v>
      </c>
      <c r="F483" t="str">
        <f>_xlfn.XLOOKUP(G483,ecu_admgz_adm2!D:D,ecu_admgz_adm2!C:C)</f>
        <v>San Miguel de Urcuquí</v>
      </c>
      <c r="G483" t="str">
        <f t="shared" si="38"/>
        <v>EC1006</v>
      </c>
      <c r="H483" t="str">
        <f t="shared" si="39"/>
        <v>EC10</v>
      </c>
      <c r="I483" t="str">
        <f>_xlfn.XLOOKUP(H483,eci_admgz_adm1!D:D,eci_admgz_adm1!C:C)</f>
        <v>Imbabura</v>
      </c>
      <c r="J483" t="s">
        <v>2021</v>
      </c>
      <c r="K483" s="1" t="s">
        <v>2023</v>
      </c>
    </row>
    <row r="484" spans="1:11" ht="16" x14ac:dyDescent="0.2">
      <c r="A484" t="s">
        <v>936</v>
      </c>
      <c r="B484" t="s">
        <v>937</v>
      </c>
      <c r="C484" t="str">
        <f t="shared" si="36"/>
        <v>La Merced De Buenos Aires</v>
      </c>
      <c r="D484" t="str">
        <f t="shared" si="35"/>
        <v>La Merced de Buenos Aires</v>
      </c>
      <c r="E484" t="str">
        <f t="shared" si="37"/>
        <v>EC100652</v>
      </c>
      <c r="F484" t="str">
        <f>_xlfn.XLOOKUP(G484,ecu_admgz_adm2!D:D,ecu_admgz_adm2!C:C)</f>
        <v>San Miguel de Urcuquí</v>
      </c>
      <c r="G484" t="str">
        <f t="shared" si="38"/>
        <v>EC1006</v>
      </c>
      <c r="H484" t="str">
        <f t="shared" si="39"/>
        <v>EC10</v>
      </c>
      <c r="I484" t="str">
        <f>_xlfn.XLOOKUP(H484,eci_admgz_adm1!D:D,eci_admgz_adm1!C:C)</f>
        <v>Imbabura</v>
      </c>
      <c r="J484" t="s">
        <v>2021</v>
      </c>
      <c r="K484" s="1" t="s">
        <v>2023</v>
      </c>
    </row>
    <row r="485" spans="1:11" ht="16" x14ac:dyDescent="0.2">
      <c r="A485" t="s">
        <v>938</v>
      </c>
      <c r="B485" t="s">
        <v>939</v>
      </c>
      <c r="C485" t="str">
        <f t="shared" si="36"/>
        <v>Pablo Arenas</v>
      </c>
      <c r="D485" t="str">
        <f t="shared" si="35"/>
        <v>Pablo Arenas</v>
      </c>
      <c r="E485" t="str">
        <f t="shared" si="37"/>
        <v>EC100653</v>
      </c>
      <c r="F485" t="str">
        <f>_xlfn.XLOOKUP(G485,ecu_admgz_adm2!D:D,ecu_admgz_adm2!C:C)</f>
        <v>San Miguel de Urcuquí</v>
      </c>
      <c r="G485" t="str">
        <f t="shared" si="38"/>
        <v>EC1006</v>
      </c>
      <c r="H485" t="str">
        <f t="shared" si="39"/>
        <v>EC10</v>
      </c>
      <c r="I485" t="str">
        <f>_xlfn.XLOOKUP(H485,eci_admgz_adm1!D:D,eci_admgz_adm1!C:C)</f>
        <v>Imbabura</v>
      </c>
      <c r="J485" t="s">
        <v>2021</v>
      </c>
      <c r="K485" s="1" t="s">
        <v>2023</v>
      </c>
    </row>
    <row r="486" spans="1:11" ht="16" x14ac:dyDescent="0.2">
      <c r="A486" t="s">
        <v>940</v>
      </c>
      <c r="B486" t="s">
        <v>941</v>
      </c>
      <c r="C486" t="str">
        <f t="shared" si="36"/>
        <v>San Blas</v>
      </c>
      <c r="D486" t="str">
        <f t="shared" si="35"/>
        <v>San Blas</v>
      </c>
      <c r="E486" t="str">
        <f t="shared" si="37"/>
        <v>EC100654</v>
      </c>
      <c r="F486" t="str">
        <f>_xlfn.XLOOKUP(G486,ecu_admgz_adm2!D:D,ecu_admgz_adm2!C:C)</f>
        <v>San Miguel de Urcuquí</v>
      </c>
      <c r="G486" t="str">
        <f t="shared" si="38"/>
        <v>EC1006</v>
      </c>
      <c r="H486" t="str">
        <f t="shared" si="39"/>
        <v>EC10</v>
      </c>
      <c r="I486" t="str">
        <f>_xlfn.XLOOKUP(H486,eci_admgz_adm1!D:D,eci_admgz_adm1!C:C)</f>
        <v>Imbabura</v>
      </c>
      <c r="J486" t="s">
        <v>2021</v>
      </c>
      <c r="K486" s="1" t="s">
        <v>2023</v>
      </c>
    </row>
    <row r="487" spans="1:11" ht="16" x14ac:dyDescent="0.2">
      <c r="A487" t="s">
        <v>942</v>
      </c>
      <c r="B487" t="s">
        <v>943</v>
      </c>
      <c r="C487" t="str">
        <f t="shared" si="36"/>
        <v>Tumbabiro</v>
      </c>
      <c r="D487" t="str">
        <f t="shared" si="35"/>
        <v>Tumbabiro</v>
      </c>
      <c r="E487" t="str">
        <f t="shared" si="37"/>
        <v>EC100655</v>
      </c>
      <c r="F487" t="str">
        <f>_xlfn.XLOOKUP(G487,ecu_admgz_adm2!D:D,ecu_admgz_adm2!C:C)</f>
        <v>San Miguel de Urcuquí</v>
      </c>
      <c r="G487" t="str">
        <f t="shared" si="38"/>
        <v>EC1006</v>
      </c>
      <c r="H487" t="str">
        <f t="shared" si="39"/>
        <v>EC10</v>
      </c>
      <c r="I487" t="str">
        <f>_xlfn.XLOOKUP(H487,eci_admgz_adm1!D:D,eci_admgz_adm1!C:C)</f>
        <v>Imbabura</v>
      </c>
      <c r="J487" t="s">
        <v>2021</v>
      </c>
      <c r="K487" s="1" t="s">
        <v>2023</v>
      </c>
    </row>
    <row r="488" spans="1:11" ht="16" x14ac:dyDescent="0.2">
      <c r="A488" t="s">
        <v>944</v>
      </c>
      <c r="B488" t="s">
        <v>945</v>
      </c>
      <c r="C488" t="str">
        <f t="shared" si="36"/>
        <v>Loja</v>
      </c>
      <c r="D488" t="str">
        <f t="shared" si="35"/>
        <v>Loja</v>
      </c>
      <c r="E488" t="str">
        <f t="shared" si="37"/>
        <v>EC110150</v>
      </c>
      <c r="F488" t="str">
        <f>_xlfn.XLOOKUP(G488,ecu_admgz_adm2!D:D,ecu_admgz_adm2!C:C)</f>
        <v>Loja</v>
      </c>
      <c r="G488" t="str">
        <f t="shared" si="38"/>
        <v>EC1101</v>
      </c>
      <c r="H488" t="str">
        <f t="shared" si="39"/>
        <v>EC11</v>
      </c>
      <c r="I488" t="str">
        <f>_xlfn.XLOOKUP(H488,eci_admgz_adm1!D:D,eci_admgz_adm1!C:C)</f>
        <v>Loja</v>
      </c>
      <c r="J488" t="s">
        <v>2021</v>
      </c>
      <c r="K488" s="1" t="s">
        <v>2023</v>
      </c>
    </row>
    <row r="489" spans="1:11" ht="16" x14ac:dyDescent="0.2">
      <c r="A489" t="s">
        <v>946</v>
      </c>
      <c r="B489" t="s">
        <v>947</v>
      </c>
      <c r="C489" t="str">
        <f t="shared" si="36"/>
        <v>Chantaco</v>
      </c>
      <c r="D489" t="str">
        <f t="shared" si="35"/>
        <v>Chantaco</v>
      </c>
      <c r="E489" t="str">
        <f t="shared" si="37"/>
        <v>EC110151</v>
      </c>
      <c r="F489" t="str">
        <f>_xlfn.XLOOKUP(G489,ecu_admgz_adm2!D:D,ecu_admgz_adm2!C:C)</f>
        <v>Loja</v>
      </c>
      <c r="G489" t="str">
        <f t="shared" si="38"/>
        <v>EC1101</v>
      </c>
      <c r="H489" t="str">
        <f t="shared" si="39"/>
        <v>EC11</v>
      </c>
      <c r="I489" t="str">
        <f>_xlfn.XLOOKUP(H489,eci_admgz_adm1!D:D,eci_admgz_adm1!C:C)</f>
        <v>Loja</v>
      </c>
      <c r="J489" t="s">
        <v>2021</v>
      </c>
      <c r="K489" s="1" t="s">
        <v>2023</v>
      </c>
    </row>
    <row r="490" spans="1:11" ht="16" x14ac:dyDescent="0.2">
      <c r="A490" t="s">
        <v>948</v>
      </c>
      <c r="B490" t="s">
        <v>949</v>
      </c>
      <c r="C490" t="str">
        <f t="shared" si="36"/>
        <v>Chuquiribamba</v>
      </c>
      <c r="D490" t="str">
        <f t="shared" si="35"/>
        <v>Chuquiribamba</v>
      </c>
      <c r="E490" t="str">
        <f t="shared" si="37"/>
        <v>EC110152</v>
      </c>
      <c r="F490" t="str">
        <f>_xlfn.XLOOKUP(G490,ecu_admgz_adm2!D:D,ecu_admgz_adm2!C:C)</f>
        <v>Loja</v>
      </c>
      <c r="G490" t="str">
        <f t="shared" si="38"/>
        <v>EC1101</v>
      </c>
      <c r="H490" t="str">
        <f t="shared" si="39"/>
        <v>EC11</v>
      </c>
      <c r="I490" t="str">
        <f>_xlfn.XLOOKUP(H490,eci_admgz_adm1!D:D,eci_admgz_adm1!C:C)</f>
        <v>Loja</v>
      </c>
      <c r="J490" t="s">
        <v>2021</v>
      </c>
      <c r="K490" s="1" t="s">
        <v>2023</v>
      </c>
    </row>
    <row r="491" spans="1:11" ht="16" x14ac:dyDescent="0.2">
      <c r="A491" t="s">
        <v>950</v>
      </c>
      <c r="B491" t="s">
        <v>951</v>
      </c>
      <c r="C491" t="str">
        <f t="shared" si="36"/>
        <v>El Cisne</v>
      </c>
      <c r="D491" t="str">
        <f t="shared" si="35"/>
        <v>El Cisne</v>
      </c>
      <c r="E491" t="str">
        <f t="shared" si="37"/>
        <v>EC110153</v>
      </c>
      <c r="F491" t="str">
        <f>_xlfn.XLOOKUP(G491,ecu_admgz_adm2!D:D,ecu_admgz_adm2!C:C)</f>
        <v>Loja</v>
      </c>
      <c r="G491" t="str">
        <f t="shared" si="38"/>
        <v>EC1101</v>
      </c>
      <c r="H491" t="str">
        <f t="shared" si="39"/>
        <v>EC11</v>
      </c>
      <c r="I491" t="str">
        <f>_xlfn.XLOOKUP(H491,eci_admgz_adm1!D:D,eci_admgz_adm1!C:C)</f>
        <v>Loja</v>
      </c>
      <c r="J491" t="s">
        <v>2021</v>
      </c>
      <c r="K491" s="1" t="s">
        <v>2023</v>
      </c>
    </row>
    <row r="492" spans="1:11" ht="16" x14ac:dyDescent="0.2">
      <c r="A492" t="s">
        <v>952</v>
      </c>
      <c r="B492" t="s">
        <v>953</v>
      </c>
      <c r="C492" t="str">
        <f t="shared" si="36"/>
        <v>Gualel</v>
      </c>
      <c r="D492" t="str">
        <f t="shared" si="35"/>
        <v>Gualel</v>
      </c>
      <c r="E492" t="str">
        <f t="shared" si="37"/>
        <v>EC110154</v>
      </c>
      <c r="F492" t="str">
        <f>_xlfn.XLOOKUP(G492,ecu_admgz_adm2!D:D,ecu_admgz_adm2!C:C)</f>
        <v>Loja</v>
      </c>
      <c r="G492" t="str">
        <f t="shared" si="38"/>
        <v>EC1101</v>
      </c>
      <c r="H492" t="str">
        <f t="shared" si="39"/>
        <v>EC11</v>
      </c>
      <c r="I492" t="str">
        <f>_xlfn.XLOOKUP(H492,eci_admgz_adm1!D:D,eci_admgz_adm1!C:C)</f>
        <v>Loja</v>
      </c>
      <c r="J492" t="s">
        <v>2021</v>
      </c>
      <c r="K492" s="1" t="s">
        <v>2023</v>
      </c>
    </row>
    <row r="493" spans="1:11" ht="16" x14ac:dyDescent="0.2">
      <c r="A493" t="s">
        <v>954</v>
      </c>
      <c r="B493" t="s">
        <v>955</v>
      </c>
      <c r="C493" t="str">
        <f t="shared" si="36"/>
        <v>Jimbilla</v>
      </c>
      <c r="D493" t="str">
        <f t="shared" si="35"/>
        <v>Jimbilla</v>
      </c>
      <c r="E493" t="str">
        <f t="shared" si="37"/>
        <v>EC110155</v>
      </c>
      <c r="F493" t="str">
        <f>_xlfn.XLOOKUP(G493,ecu_admgz_adm2!D:D,ecu_admgz_adm2!C:C)</f>
        <v>Loja</v>
      </c>
      <c r="G493" t="str">
        <f t="shared" si="38"/>
        <v>EC1101</v>
      </c>
      <c r="H493" t="str">
        <f t="shared" si="39"/>
        <v>EC11</v>
      </c>
      <c r="I493" t="str">
        <f>_xlfn.XLOOKUP(H493,eci_admgz_adm1!D:D,eci_admgz_adm1!C:C)</f>
        <v>Loja</v>
      </c>
      <c r="J493" t="s">
        <v>2021</v>
      </c>
      <c r="K493" s="1" t="s">
        <v>2023</v>
      </c>
    </row>
    <row r="494" spans="1:11" ht="16" x14ac:dyDescent="0.2">
      <c r="A494" t="s">
        <v>956</v>
      </c>
      <c r="B494" t="s">
        <v>957</v>
      </c>
      <c r="C494" t="str">
        <f t="shared" si="36"/>
        <v>Malacatos</v>
      </c>
      <c r="D494" t="str">
        <f t="shared" si="35"/>
        <v>Malacatos</v>
      </c>
      <c r="E494" t="str">
        <f t="shared" si="37"/>
        <v>EC110156</v>
      </c>
      <c r="F494" t="str">
        <f>_xlfn.XLOOKUP(G494,ecu_admgz_adm2!D:D,ecu_admgz_adm2!C:C)</f>
        <v>Loja</v>
      </c>
      <c r="G494" t="str">
        <f t="shared" si="38"/>
        <v>EC1101</v>
      </c>
      <c r="H494" t="str">
        <f t="shared" si="39"/>
        <v>EC11</v>
      </c>
      <c r="I494" t="str">
        <f>_xlfn.XLOOKUP(H494,eci_admgz_adm1!D:D,eci_admgz_adm1!C:C)</f>
        <v>Loja</v>
      </c>
      <c r="J494" t="s">
        <v>2021</v>
      </c>
      <c r="K494" s="1" t="s">
        <v>2023</v>
      </c>
    </row>
    <row r="495" spans="1:11" ht="16" x14ac:dyDescent="0.2">
      <c r="A495" t="s">
        <v>958</v>
      </c>
      <c r="B495" t="s">
        <v>959</v>
      </c>
      <c r="C495" t="str">
        <f t="shared" si="36"/>
        <v>San Lucas</v>
      </c>
      <c r="D495" t="str">
        <f t="shared" si="35"/>
        <v>San Lucas</v>
      </c>
      <c r="E495" t="str">
        <f t="shared" si="37"/>
        <v>EC110157</v>
      </c>
      <c r="F495" t="str">
        <f>_xlfn.XLOOKUP(G495,ecu_admgz_adm2!D:D,ecu_admgz_adm2!C:C)</f>
        <v>Loja</v>
      </c>
      <c r="G495" t="str">
        <f t="shared" si="38"/>
        <v>EC1101</v>
      </c>
      <c r="H495" t="str">
        <f t="shared" si="39"/>
        <v>EC11</v>
      </c>
      <c r="I495" t="str">
        <f>_xlfn.XLOOKUP(H495,eci_admgz_adm1!D:D,eci_admgz_adm1!C:C)</f>
        <v>Loja</v>
      </c>
      <c r="J495" t="s">
        <v>2021</v>
      </c>
      <c r="K495" s="1" t="s">
        <v>2023</v>
      </c>
    </row>
    <row r="496" spans="1:11" ht="16" x14ac:dyDescent="0.2">
      <c r="A496" t="s">
        <v>960</v>
      </c>
      <c r="B496" t="s">
        <v>961</v>
      </c>
      <c r="C496" t="str">
        <f t="shared" si="36"/>
        <v>San Pedro De Vilcabamba</v>
      </c>
      <c r="D496" t="str">
        <f t="shared" si="35"/>
        <v>San Pedro de Vilcabamba</v>
      </c>
      <c r="E496" t="str">
        <f t="shared" si="37"/>
        <v>EC110158</v>
      </c>
      <c r="F496" t="str">
        <f>_xlfn.XLOOKUP(G496,ecu_admgz_adm2!D:D,ecu_admgz_adm2!C:C)</f>
        <v>Loja</v>
      </c>
      <c r="G496" t="str">
        <f t="shared" si="38"/>
        <v>EC1101</v>
      </c>
      <c r="H496" t="str">
        <f t="shared" si="39"/>
        <v>EC11</v>
      </c>
      <c r="I496" t="str">
        <f>_xlfn.XLOOKUP(H496,eci_admgz_adm1!D:D,eci_admgz_adm1!C:C)</f>
        <v>Loja</v>
      </c>
      <c r="J496" t="s">
        <v>2021</v>
      </c>
      <c r="K496" s="1" t="s">
        <v>2023</v>
      </c>
    </row>
    <row r="497" spans="1:11" ht="16" x14ac:dyDescent="0.2">
      <c r="A497" t="s">
        <v>962</v>
      </c>
      <c r="B497" t="s">
        <v>200</v>
      </c>
      <c r="C497" t="str">
        <f t="shared" si="36"/>
        <v>Santiago</v>
      </c>
      <c r="D497" t="str">
        <f t="shared" si="35"/>
        <v>Santiago</v>
      </c>
      <c r="E497" t="str">
        <f t="shared" si="37"/>
        <v>EC110159</v>
      </c>
      <c r="F497" t="str">
        <f>_xlfn.XLOOKUP(G497,ecu_admgz_adm2!D:D,ecu_admgz_adm2!C:C)</f>
        <v>Loja</v>
      </c>
      <c r="G497" t="str">
        <f t="shared" si="38"/>
        <v>EC1101</v>
      </c>
      <c r="H497" t="str">
        <f t="shared" si="39"/>
        <v>EC11</v>
      </c>
      <c r="I497" t="str">
        <f>_xlfn.XLOOKUP(H497,eci_admgz_adm1!D:D,eci_admgz_adm1!C:C)</f>
        <v>Loja</v>
      </c>
      <c r="J497" t="s">
        <v>2021</v>
      </c>
      <c r="K497" s="1" t="s">
        <v>2023</v>
      </c>
    </row>
    <row r="498" spans="1:11" ht="16" x14ac:dyDescent="0.2">
      <c r="A498" t="s">
        <v>963</v>
      </c>
      <c r="B498" t="s">
        <v>964</v>
      </c>
      <c r="C498" t="str">
        <f t="shared" si="36"/>
        <v>Taquil</v>
      </c>
      <c r="D498" t="str">
        <f t="shared" si="35"/>
        <v>Taquil</v>
      </c>
      <c r="E498" t="str">
        <f t="shared" si="37"/>
        <v>EC110160</v>
      </c>
      <c r="F498" t="str">
        <f>_xlfn.XLOOKUP(G498,ecu_admgz_adm2!D:D,ecu_admgz_adm2!C:C)</f>
        <v>Loja</v>
      </c>
      <c r="G498" t="str">
        <f t="shared" si="38"/>
        <v>EC1101</v>
      </c>
      <c r="H498" t="str">
        <f t="shared" si="39"/>
        <v>EC11</v>
      </c>
      <c r="I498" t="str">
        <f>_xlfn.XLOOKUP(H498,eci_admgz_adm1!D:D,eci_admgz_adm1!C:C)</f>
        <v>Loja</v>
      </c>
      <c r="J498" t="s">
        <v>2021</v>
      </c>
      <c r="K498" s="1" t="s">
        <v>2023</v>
      </c>
    </row>
    <row r="499" spans="1:11" ht="16" x14ac:dyDescent="0.2">
      <c r="A499" t="s">
        <v>965</v>
      </c>
      <c r="B499" t="s">
        <v>966</v>
      </c>
      <c r="C499" t="str">
        <f t="shared" si="36"/>
        <v>Vilcabamba</v>
      </c>
      <c r="D499" t="str">
        <f t="shared" si="35"/>
        <v>Vilcabamba</v>
      </c>
      <c r="E499" t="str">
        <f t="shared" si="37"/>
        <v>EC110161</v>
      </c>
      <c r="F499" t="str">
        <f>_xlfn.XLOOKUP(G499,ecu_admgz_adm2!D:D,ecu_admgz_adm2!C:C)</f>
        <v>Loja</v>
      </c>
      <c r="G499" t="str">
        <f t="shared" si="38"/>
        <v>EC1101</v>
      </c>
      <c r="H499" t="str">
        <f t="shared" si="39"/>
        <v>EC11</v>
      </c>
      <c r="I499" t="str">
        <f>_xlfn.XLOOKUP(H499,eci_admgz_adm1!D:D,eci_admgz_adm1!C:C)</f>
        <v>Loja</v>
      </c>
      <c r="J499" t="s">
        <v>2021</v>
      </c>
      <c r="K499" s="1" t="s">
        <v>2023</v>
      </c>
    </row>
    <row r="500" spans="1:11" ht="16" x14ac:dyDescent="0.2">
      <c r="A500" t="s">
        <v>967</v>
      </c>
      <c r="B500" t="s">
        <v>968</v>
      </c>
      <c r="C500" t="str">
        <f t="shared" si="36"/>
        <v>Yangana</v>
      </c>
      <c r="D500" t="str">
        <f t="shared" si="35"/>
        <v>Yangana</v>
      </c>
      <c r="E500" t="str">
        <f t="shared" si="37"/>
        <v>EC110162</v>
      </c>
      <c r="F500" t="str">
        <f>_xlfn.XLOOKUP(G500,ecu_admgz_adm2!D:D,ecu_admgz_adm2!C:C)</f>
        <v>Loja</v>
      </c>
      <c r="G500" t="str">
        <f t="shared" si="38"/>
        <v>EC1101</v>
      </c>
      <c r="H500" t="str">
        <f t="shared" si="39"/>
        <v>EC11</v>
      </c>
      <c r="I500" t="str">
        <f>_xlfn.XLOOKUP(H500,eci_admgz_adm1!D:D,eci_admgz_adm1!C:C)</f>
        <v>Loja</v>
      </c>
      <c r="J500" t="s">
        <v>2021</v>
      </c>
      <c r="K500" s="1" t="s">
        <v>2023</v>
      </c>
    </row>
    <row r="501" spans="1:11" ht="16" x14ac:dyDescent="0.2">
      <c r="A501" t="s">
        <v>969</v>
      </c>
      <c r="B501" t="s">
        <v>970</v>
      </c>
      <c r="C501" t="str">
        <f t="shared" si="36"/>
        <v>Quinara</v>
      </c>
      <c r="D501" t="str">
        <f t="shared" si="35"/>
        <v>Quinara</v>
      </c>
      <c r="E501" t="str">
        <f t="shared" si="37"/>
        <v>EC110163</v>
      </c>
      <c r="F501" t="str">
        <f>_xlfn.XLOOKUP(G501,ecu_admgz_adm2!D:D,ecu_admgz_adm2!C:C)</f>
        <v>Loja</v>
      </c>
      <c r="G501" t="str">
        <f t="shared" si="38"/>
        <v>EC1101</v>
      </c>
      <c r="H501" t="str">
        <f t="shared" si="39"/>
        <v>EC11</v>
      </c>
      <c r="I501" t="str">
        <f>_xlfn.XLOOKUP(H501,eci_admgz_adm1!D:D,eci_admgz_adm1!C:C)</f>
        <v>Loja</v>
      </c>
      <c r="J501" t="s">
        <v>2021</v>
      </c>
      <c r="K501" s="1" t="s">
        <v>2023</v>
      </c>
    </row>
    <row r="502" spans="1:11" ht="16" x14ac:dyDescent="0.2">
      <c r="A502" t="s">
        <v>971</v>
      </c>
      <c r="B502" t="s">
        <v>972</v>
      </c>
      <c r="C502" t="str">
        <f t="shared" si="36"/>
        <v>Cariamanga</v>
      </c>
      <c r="D502" t="str">
        <f t="shared" si="35"/>
        <v>Cariamanga</v>
      </c>
      <c r="E502" t="str">
        <f t="shared" si="37"/>
        <v>EC110250</v>
      </c>
      <c r="F502" t="str">
        <f>_xlfn.XLOOKUP(G502,ecu_admgz_adm2!D:D,ecu_admgz_adm2!C:C)</f>
        <v>Calvas</v>
      </c>
      <c r="G502" t="str">
        <f t="shared" si="38"/>
        <v>EC1102</v>
      </c>
      <c r="H502" t="str">
        <f t="shared" si="39"/>
        <v>EC11</v>
      </c>
      <c r="I502" t="str">
        <f>_xlfn.XLOOKUP(H502,eci_admgz_adm1!D:D,eci_admgz_adm1!C:C)</f>
        <v>Loja</v>
      </c>
      <c r="J502" t="s">
        <v>2021</v>
      </c>
      <c r="K502" s="1" t="s">
        <v>2023</v>
      </c>
    </row>
    <row r="503" spans="1:11" ht="16" x14ac:dyDescent="0.2">
      <c r="A503" t="s">
        <v>973</v>
      </c>
      <c r="B503" t="s">
        <v>974</v>
      </c>
      <c r="C503" t="str">
        <f t="shared" si="36"/>
        <v>Colaisaca</v>
      </c>
      <c r="D503" t="str">
        <f t="shared" si="35"/>
        <v>Colaisaca</v>
      </c>
      <c r="E503" t="str">
        <f t="shared" si="37"/>
        <v>EC110251</v>
      </c>
      <c r="F503" t="str">
        <f>_xlfn.XLOOKUP(G503,ecu_admgz_adm2!D:D,ecu_admgz_adm2!C:C)</f>
        <v>Calvas</v>
      </c>
      <c r="G503" t="str">
        <f t="shared" si="38"/>
        <v>EC1102</v>
      </c>
      <c r="H503" t="str">
        <f t="shared" si="39"/>
        <v>EC11</v>
      </c>
      <c r="I503" t="str">
        <f>_xlfn.XLOOKUP(H503,eci_admgz_adm1!D:D,eci_admgz_adm1!C:C)</f>
        <v>Loja</v>
      </c>
      <c r="J503" t="s">
        <v>2021</v>
      </c>
      <c r="K503" s="1" t="s">
        <v>2023</v>
      </c>
    </row>
    <row r="504" spans="1:11" ht="16" x14ac:dyDescent="0.2">
      <c r="A504" t="s">
        <v>975</v>
      </c>
      <c r="B504" t="s">
        <v>976</v>
      </c>
      <c r="C504" t="str">
        <f t="shared" si="36"/>
        <v>El Lucero</v>
      </c>
      <c r="D504" t="str">
        <f t="shared" si="35"/>
        <v>El Lucero</v>
      </c>
      <c r="E504" t="str">
        <f t="shared" si="37"/>
        <v>EC110252</v>
      </c>
      <c r="F504" t="str">
        <f>_xlfn.XLOOKUP(G504,ecu_admgz_adm2!D:D,ecu_admgz_adm2!C:C)</f>
        <v>Calvas</v>
      </c>
      <c r="G504" t="str">
        <f t="shared" si="38"/>
        <v>EC1102</v>
      </c>
      <c r="H504" t="str">
        <f t="shared" si="39"/>
        <v>EC11</v>
      </c>
      <c r="I504" t="str">
        <f>_xlfn.XLOOKUP(H504,eci_admgz_adm1!D:D,eci_admgz_adm1!C:C)</f>
        <v>Loja</v>
      </c>
      <c r="J504" t="s">
        <v>2021</v>
      </c>
      <c r="K504" s="1" t="s">
        <v>2023</v>
      </c>
    </row>
    <row r="505" spans="1:11" ht="16" x14ac:dyDescent="0.2">
      <c r="A505" t="s">
        <v>977</v>
      </c>
      <c r="B505" t="s">
        <v>978</v>
      </c>
      <c r="C505" t="str">
        <f t="shared" si="36"/>
        <v>Utuana</v>
      </c>
      <c r="D505" t="str">
        <f t="shared" si="35"/>
        <v>Utuana</v>
      </c>
      <c r="E505" t="str">
        <f t="shared" si="37"/>
        <v>EC110253</v>
      </c>
      <c r="F505" t="str">
        <f>_xlfn.XLOOKUP(G505,ecu_admgz_adm2!D:D,ecu_admgz_adm2!C:C)</f>
        <v>Calvas</v>
      </c>
      <c r="G505" t="str">
        <f t="shared" si="38"/>
        <v>EC1102</v>
      </c>
      <c r="H505" t="str">
        <f t="shared" si="39"/>
        <v>EC11</v>
      </c>
      <c r="I505" t="str">
        <f>_xlfn.XLOOKUP(H505,eci_admgz_adm1!D:D,eci_admgz_adm1!C:C)</f>
        <v>Loja</v>
      </c>
      <c r="J505" t="s">
        <v>2021</v>
      </c>
      <c r="K505" s="1" t="s">
        <v>2023</v>
      </c>
    </row>
    <row r="506" spans="1:11" ht="16" x14ac:dyDescent="0.2">
      <c r="A506" t="s">
        <v>979</v>
      </c>
      <c r="B506" t="s">
        <v>980</v>
      </c>
      <c r="C506" t="str">
        <f t="shared" si="36"/>
        <v>Sanguillín</v>
      </c>
      <c r="D506" t="str">
        <f t="shared" si="35"/>
        <v>Sanguillín</v>
      </c>
      <c r="E506" t="str">
        <f t="shared" si="37"/>
        <v>EC110254</v>
      </c>
      <c r="F506" t="str">
        <f>_xlfn.XLOOKUP(G506,ecu_admgz_adm2!D:D,ecu_admgz_adm2!C:C)</f>
        <v>Calvas</v>
      </c>
      <c r="G506" t="str">
        <f t="shared" si="38"/>
        <v>EC1102</v>
      </c>
      <c r="H506" t="str">
        <f t="shared" si="39"/>
        <v>EC11</v>
      </c>
      <c r="I506" t="str">
        <f>_xlfn.XLOOKUP(H506,eci_admgz_adm1!D:D,eci_admgz_adm1!C:C)</f>
        <v>Loja</v>
      </c>
      <c r="J506" t="s">
        <v>2021</v>
      </c>
      <c r="K506" s="1" t="s">
        <v>2023</v>
      </c>
    </row>
    <row r="507" spans="1:11" ht="16" x14ac:dyDescent="0.2">
      <c r="A507" t="s">
        <v>981</v>
      </c>
      <c r="B507" t="s">
        <v>982</v>
      </c>
      <c r="C507" t="str">
        <f t="shared" si="36"/>
        <v>Catamayo</v>
      </c>
      <c r="D507" t="str">
        <f t="shared" si="35"/>
        <v>Catamayo</v>
      </c>
      <c r="E507" t="str">
        <f t="shared" si="37"/>
        <v>EC110350</v>
      </c>
      <c r="F507" t="str">
        <f>_xlfn.XLOOKUP(G507,ecu_admgz_adm2!D:D,ecu_admgz_adm2!C:C)</f>
        <v>Catamayo</v>
      </c>
      <c r="G507" t="str">
        <f t="shared" si="38"/>
        <v>EC1103</v>
      </c>
      <c r="H507" t="str">
        <f t="shared" si="39"/>
        <v>EC11</v>
      </c>
      <c r="I507" t="str">
        <f>_xlfn.XLOOKUP(H507,eci_admgz_adm1!D:D,eci_admgz_adm1!C:C)</f>
        <v>Loja</v>
      </c>
      <c r="J507" t="s">
        <v>2021</v>
      </c>
      <c r="K507" s="1" t="s">
        <v>2023</v>
      </c>
    </row>
    <row r="508" spans="1:11" ht="16" x14ac:dyDescent="0.2">
      <c r="A508" t="s">
        <v>983</v>
      </c>
      <c r="B508" t="s">
        <v>264</v>
      </c>
      <c r="C508" t="str">
        <f t="shared" si="36"/>
        <v>El Tambo</v>
      </c>
      <c r="D508" t="str">
        <f t="shared" si="35"/>
        <v>El Tambo</v>
      </c>
      <c r="E508" t="str">
        <f t="shared" si="37"/>
        <v>EC110351</v>
      </c>
      <c r="F508" t="str">
        <f>_xlfn.XLOOKUP(G508,ecu_admgz_adm2!D:D,ecu_admgz_adm2!C:C)</f>
        <v>Catamayo</v>
      </c>
      <c r="G508" t="str">
        <f t="shared" si="38"/>
        <v>EC1103</v>
      </c>
      <c r="H508" t="str">
        <f t="shared" si="39"/>
        <v>EC11</v>
      </c>
      <c r="I508" t="str">
        <f>_xlfn.XLOOKUP(H508,eci_admgz_adm1!D:D,eci_admgz_adm1!C:C)</f>
        <v>Loja</v>
      </c>
      <c r="J508" t="s">
        <v>2021</v>
      </c>
      <c r="K508" s="1" t="s">
        <v>2023</v>
      </c>
    </row>
    <row r="509" spans="1:11" ht="16" x14ac:dyDescent="0.2">
      <c r="A509" t="s">
        <v>984</v>
      </c>
      <c r="B509" t="s">
        <v>985</v>
      </c>
      <c r="C509" t="str">
        <f t="shared" si="36"/>
        <v>Guayquichuma</v>
      </c>
      <c r="D509" t="str">
        <f t="shared" si="35"/>
        <v>Guayquichuma</v>
      </c>
      <c r="E509" t="str">
        <f t="shared" si="37"/>
        <v>EC110352</v>
      </c>
      <c r="F509" t="str">
        <f>_xlfn.XLOOKUP(G509,ecu_admgz_adm2!D:D,ecu_admgz_adm2!C:C)</f>
        <v>Catamayo</v>
      </c>
      <c r="G509" t="str">
        <f t="shared" si="38"/>
        <v>EC1103</v>
      </c>
      <c r="H509" t="str">
        <f t="shared" si="39"/>
        <v>EC11</v>
      </c>
      <c r="I509" t="str">
        <f>_xlfn.XLOOKUP(H509,eci_admgz_adm1!D:D,eci_admgz_adm1!C:C)</f>
        <v>Loja</v>
      </c>
      <c r="J509" t="s">
        <v>2021</v>
      </c>
      <c r="K509" s="1" t="s">
        <v>2023</v>
      </c>
    </row>
    <row r="510" spans="1:11" ht="16" x14ac:dyDescent="0.2">
      <c r="A510" t="s">
        <v>986</v>
      </c>
      <c r="B510" t="s">
        <v>987</v>
      </c>
      <c r="C510" t="str">
        <f t="shared" si="36"/>
        <v>San Pedro De La Bendita</v>
      </c>
      <c r="D510" t="str">
        <f t="shared" si="35"/>
        <v>San Pedro de la Bendita</v>
      </c>
      <c r="E510" t="str">
        <f t="shared" si="37"/>
        <v>EC110353</v>
      </c>
      <c r="F510" t="str">
        <f>_xlfn.XLOOKUP(G510,ecu_admgz_adm2!D:D,ecu_admgz_adm2!C:C)</f>
        <v>Catamayo</v>
      </c>
      <c r="G510" t="str">
        <f t="shared" si="38"/>
        <v>EC1103</v>
      </c>
      <c r="H510" t="str">
        <f t="shared" si="39"/>
        <v>EC11</v>
      </c>
      <c r="I510" t="str">
        <f>_xlfn.XLOOKUP(H510,eci_admgz_adm1!D:D,eci_admgz_adm1!C:C)</f>
        <v>Loja</v>
      </c>
      <c r="J510" t="s">
        <v>2021</v>
      </c>
      <c r="K510" s="1" t="s">
        <v>2023</v>
      </c>
    </row>
    <row r="511" spans="1:11" ht="16" x14ac:dyDescent="0.2">
      <c r="A511" t="s">
        <v>988</v>
      </c>
      <c r="B511" t="s">
        <v>989</v>
      </c>
      <c r="C511" t="str">
        <f t="shared" si="36"/>
        <v>Zambi</v>
      </c>
      <c r="D511" t="str">
        <f t="shared" si="35"/>
        <v>Zambi</v>
      </c>
      <c r="E511" t="str">
        <f t="shared" si="37"/>
        <v>EC110354</v>
      </c>
      <c r="F511" t="str">
        <f>_xlfn.XLOOKUP(G511,ecu_admgz_adm2!D:D,ecu_admgz_adm2!C:C)</f>
        <v>Catamayo</v>
      </c>
      <c r="G511" t="str">
        <f t="shared" si="38"/>
        <v>EC1103</v>
      </c>
      <c r="H511" t="str">
        <f t="shared" si="39"/>
        <v>EC11</v>
      </c>
      <c r="I511" t="str">
        <f>_xlfn.XLOOKUP(H511,eci_admgz_adm1!D:D,eci_admgz_adm1!C:C)</f>
        <v>Loja</v>
      </c>
      <c r="J511" t="s">
        <v>2021</v>
      </c>
      <c r="K511" s="1" t="s">
        <v>2023</v>
      </c>
    </row>
    <row r="512" spans="1:11" ht="16" x14ac:dyDescent="0.2">
      <c r="A512" t="s">
        <v>990</v>
      </c>
      <c r="B512" t="s">
        <v>991</v>
      </c>
      <c r="C512" t="str">
        <f t="shared" si="36"/>
        <v>Celica</v>
      </c>
      <c r="D512" t="str">
        <f t="shared" si="35"/>
        <v>Celica</v>
      </c>
      <c r="E512" t="str">
        <f t="shared" si="37"/>
        <v>EC110450</v>
      </c>
      <c r="F512" t="str">
        <f>_xlfn.XLOOKUP(G512,ecu_admgz_adm2!D:D,ecu_admgz_adm2!C:C)</f>
        <v>Celica</v>
      </c>
      <c r="G512" t="str">
        <f t="shared" si="38"/>
        <v>EC1104</v>
      </c>
      <c r="H512" t="str">
        <f t="shared" si="39"/>
        <v>EC11</v>
      </c>
      <c r="I512" t="str">
        <f>_xlfn.XLOOKUP(H512,eci_admgz_adm1!D:D,eci_admgz_adm1!C:C)</f>
        <v>Loja</v>
      </c>
      <c r="J512" t="s">
        <v>2021</v>
      </c>
      <c r="K512" s="1" t="s">
        <v>2023</v>
      </c>
    </row>
    <row r="513" spans="1:11" ht="16" x14ac:dyDescent="0.2">
      <c r="A513" t="s">
        <v>992</v>
      </c>
      <c r="B513" t="s">
        <v>993</v>
      </c>
      <c r="C513" t="str">
        <f t="shared" si="36"/>
        <v>Cruzpamba</v>
      </c>
      <c r="D513" t="str">
        <f t="shared" si="35"/>
        <v>Cruzpamba</v>
      </c>
      <c r="E513" t="str">
        <f t="shared" si="37"/>
        <v>EC110451</v>
      </c>
      <c r="F513" t="str">
        <f>_xlfn.XLOOKUP(G513,ecu_admgz_adm2!D:D,ecu_admgz_adm2!C:C)</f>
        <v>Celica</v>
      </c>
      <c r="G513" t="str">
        <f t="shared" si="38"/>
        <v>EC1104</v>
      </c>
      <c r="H513" t="str">
        <f t="shared" si="39"/>
        <v>EC11</v>
      </c>
      <c r="I513" t="str">
        <f>_xlfn.XLOOKUP(H513,eci_admgz_adm1!D:D,eci_admgz_adm1!C:C)</f>
        <v>Loja</v>
      </c>
      <c r="J513" t="s">
        <v>2021</v>
      </c>
      <c r="K513" s="1" t="s">
        <v>2023</v>
      </c>
    </row>
    <row r="514" spans="1:11" ht="16" x14ac:dyDescent="0.2">
      <c r="A514" t="s">
        <v>994</v>
      </c>
      <c r="B514" t="s">
        <v>995</v>
      </c>
      <c r="C514" t="str">
        <f t="shared" si="36"/>
        <v>Pózul</v>
      </c>
      <c r="D514" t="str">
        <f t="shared" ref="D514:D577" si="40">SUBSTITUTE(SUBSTITUTE(SUBSTITUTE(SUBSTITUTE(SUBSTITUTE(SUBSTITUTE(PROPER($C514)," De "," de ")," La "," la ")," Del "," del ")," Los "," los ")," Y "," y "),"En","en")</f>
        <v>Pózul</v>
      </c>
      <c r="E514" t="str">
        <f t="shared" si="37"/>
        <v>EC110455</v>
      </c>
      <c r="F514" t="str">
        <f>_xlfn.XLOOKUP(G514,ecu_admgz_adm2!D:D,ecu_admgz_adm2!C:C)</f>
        <v>Celica</v>
      </c>
      <c r="G514" t="str">
        <f t="shared" si="38"/>
        <v>EC1104</v>
      </c>
      <c r="H514" t="str">
        <f t="shared" si="39"/>
        <v>EC11</v>
      </c>
      <c r="I514" t="str">
        <f>_xlfn.XLOOKUP(H514,eci_admgz_adm1!D:D,eci_admgz_adm1!C:C)</f>
        <v>Loja</v>
      </c>
      <c r="J514" t="s">
        <v>2021</v>
      </c>
      <c r="K514" s="1" t="s">
        <v>2023</v>
      </c>
    </row>
    <row r="515" spans="1:11" ht="16" x14ac:dyDescent="0.2">
      <c r="A515" t="s">
        <v>996</v>
      </c>
      <c r="B515" t="s">
        <v>830</v>
      </c>
      <c r="C515" t="str">
        <f t="shared" ref="C515:C578" si="41">PROPER(B515)</f>
        <v>Sabanilla</v>
      </c>
      <c r="D515" t="str">
        <f t="shared" si="40"/>
        <v>Sabanilla</v>
      </c>
      <c r="E515" t="str">
        <f t="shared" ref="E515:E578" si="42">"EC"&amp;A515</f>
        <v>EC110456</v>
      </c>
      <c r="F515" t="str">
        <f>_xlfn.XLOOKUP(G515,ecu_admgz_adm2!D:D,ecu_admgz_adm2!C:C)</f>
        <v>Celica</v>
      </c>
      <c r="G515" t="str">
        <f t="shared" ref="G515:G578" si="43">LEFT(E515,6)</f>
        <v>EC1104</v>
      </c>
      <c r="H515" t="str">
        <f t="shared" ref="H515:H578" si="44">LEFT(G515,4)</f>
        <v>EC11</v>
      </c>
      <c r="I515" t="str">
        <f>_xlfn.XLOOKUP(H515,eci_admgz_adm1!D:D,eci_admgz_adm1!C:C)</f>
        <v>Loja</v>
      </c>
      <c r="J515" t="s">
        <v>2021</v>
      </c>
      <c r="K515" s="1" t="s">
        <v>2023</v>
      </c>
    </row>
    <row r="516" spans="1:11" ht="16" x14ac:dyDescent="0.2">
      <c r="A516" t="s">
        <v>997</v>
      </c>
      <c r="B516" t="s">
        <v>998</v>
      </c>
      <c r="C516" t="str">
        <f t="shared" si="41"/>
        <v>Teniente Maximiliano Rodríguez Loaiza</v>
      </c>
      <c r="D516" t="str">
        <f t="shared" si="40"/>
        <v>Teniente Maximiliano Rodríguez Loaiza</v>
      </c>
      <c r="E516" t="str">
        <f t="shared" si="42"/>
        <v>EC110457</v>
      </c>
      <c r="F516" t="str">
        <f>_xlfn.XLOOKUP(G516,ecu_admgz_adm2!D:D,ecu_admgz_adm2!C:C)</f>
        <v>Celica</v>
      </c>
      <c r="G516" t="str">
        <f t="shared" si="43"/>
        <v>EC1104</v>
      </c>
      <c r="H516" t="str">
        <f t="shared" si="44"/>
        <v>EC11</v>
      </c>
      <c r="I516" t="str">
        <f>_xlfn.XLOOKUP(H516,eci_admgz_adm1!D:D,eci_admgz_adm1!C:C)</f>
        <v>Loja</v>
      </c>
      <c r="J516" t="s">
        <v>2021</v>
      </c>
      <c r="K516" s="1" t="s">
        <v>2023</v>
      </c>
    </row>
    <row r="517" spans="1:11" ht="16" x14ac:dyDescent="0.2">
      <c r="A517" t="s">
        <v>999</v>
      </c>
      <c r="B517" t="s">
        <v>1000</v>
      </c>
      <c r="C517" t="str">
        <f t="shared" si="41"/>
        <v>Chaguarpamba</v>
      </c>
      <c r="D517" t="str">
        <f t="shared" si="40"/>
        <v>Chaguarpamba</v>
      </c>
      <c r="E517" t="str">
        <f t="shared" si="42"/>
        <v>EC110550</v>
      </c>
      <c r="F517" t="str">
        <f>_xlfn.XLOOKUP(G517,ecu_admgz_adm2!D:D,ecu_admgz_adm2!C:C)</f>
        <v>Chaguarpamba</v>
      </c>
      <c r="G517" t="str">
        <f t="shared" si="43"/>
        <v>EC1105</v>
      </c>
      <c r="H517" t="str">
        <f t="shared" si="44"/>
        <v>EC11</v>
      </c>
      <c r="I517" t="str">
        <f>_xlfn.XLOOKUP(H517,eci_admgz_adm1!D:D,eci_admgz_adm1!C:C)</f>
        <v>Loja</v>
      </c>
      <c r="J517" t="s">
        <v>2021</v>
      </c>
      <c r="K517" s="1" t="s">
        <v>2023</v>
      </c>
    </row>
    <row r="518" spans="1:11" ht="16" x14ac:dyDescent="0.2">
      <c r="A518" t="s">
        <v>1001</v>
      </c>
      <c r="B518" t="s">
        <v>572</v>
      </c>
      <c r="C518" t="str">
        <f t="shared" si="41"/>
        <v>Buenavista</v>
      </c>
      <c r="D518" t="str">
        <f t="shared" si="40"/>
        <v>Buenavista</v>
      </c>
      <c r="E518" t="str">
        <f t="shared" si="42"/>
        <v>EC110551</v>
      </c>
      <c r="F518" t="str">
        <f>_xlfn.XLOOKUP(G518,ecu_admgz_adm2!D:D,ecu_admgz_adm2!C:C)</f>
        <v>Chaguarpamba</v>
      </c>
      <c r="G518" t="str">
        <f t="shared" si="43"/>
        <v>EC1105</v>
      </c>
      <c r="H518" t="str">
        <f t="shared" si="44"/>
        <v>EC11</v>
      </c>
      <c r="I518" t="str">
        <f>_xlfn.XLOOKUP(H518,eci_admgz_adm1!D:D,eci_admgz_adm1!C:C)</f>
        <v>Loja</v>
      </c>
      <c r="J518" t="s">
        <v>2021</v>
      </c>
      <c r="K518" s="1" t="s">
        <v>2023</v>
      </c>
    </row>
    <row r="519" spans="1:11" ht="16" x14ac:dyDescent="0.2">
      <c r="A519" t="s">
        <v>1002</v>
      </c>
      <c r="B519" t="s">
        <v>802</v>
      </c>
      <c r="C519" t="str">
        <f t="shared" si="41"/>
        <v>El Rosario</v>
      </c>
      <c r="D519" t="str">
        <f t="shared" si="40"/>
        <v>El Rosario</v>
      </c>
      <c r="E519" t="str">
        <f t="shared" si="42"/>
        <v>EC110552</v>
      </c>
      <c r="F519" t="str">
        <f>_xlfn.XLOOKUP(G519,ecu_admgz_adm2!D:D,ecu_admgz_adm2!C:C)</f>
        <v>Chaguarpamba</v>
      </c>
      <c r="G519" t="str">
        <f t="shared" si="43"/>
        <v>EC1105</v>
      </c>
      <c r="H519" t="str">
        <f t="shared" si="44"/>
        <v>EC11</v>
      </c>
      <c r="I519" t="str">
        <f>_xlfn.XLOOKUP(H519,eci_admgz_adm1!D:D,eci_admgz_adm1!C:C)</f>
        <v>Loja</v>
      </c>
      <c r="J519" t="s">
        <v>2021</v>
      </c>
      <c r="K519" s="1" t="s">
        <v>2023</v>
      </c>
    </row>
    <row r="520" spans="1:11" ht="16" x14ac:dyDescent="0.2">
      <c r="A520" t="s">
        <v>1003</v>
      </c>
      <c r="B520" t="s">
        <v>1004</v>
      </c>
      <c r="C520" t="str">
        <f t="shared" si="41"/>
        <v>Santa Rufina</v>
      </c>
      <c r="D520" t="str">
        <f t="shared" si="40"/>
        <v>Santa Rufina</v>
      </c>
      <c r="E520" t="str">
        <f t="shared" si="42"/>
        <v>EC110553</v>
      </c>
      <c r="F520" t="str">
        <f>_xlfn.XLOOKUP(G520,ecu_admgz_adm2!D:D,ecu_admgz_adm2!C:C)</f>
        <v>Chaguarpamba</v>
      </c>
      <c r="G520" t="str">
        <f t="shared" si="43"/>
        <v>EC1105</v>
      </c>
      <c r="H520" t="str">
        <f t="shared" si="44"/>
        <v>EC11</v>
      </c>
      <c r="I520" t="str">
        <f>_xlfn.XLOOKUP(H520,eci_admgz_adm1!D:D,eci_admgz_adm1!C:C)</f>
        <v>Loja</v>
      </c>
      <c r="J520" t="s">
        <v>2021</v>
      </c>
      <c r="K520" s="1" t="s">
        <v>2023</v>
      </c>
    </row>
    <row r="521" spans="1:11" ht="16" x14ac:dyDescent="0.2">
      <c r="A521" t="s">
        <v>1005</v>
      </c>
      <c r="B521" t="s">
        <v>1006</v>
      </c>
      <c r="C521" t="str">
        <f t="shared" si="41"/>
        <v>Amarillos</v>
      </c>
      <c r="D521" t="str">
        <f t="shared" si="40"/>
        <v>Amarillos</v>
      </c>
      <c r="E521" t="str">
        <f t="shared" si="42"/>
        <v>EC110554</v>
      </c>
      <c r="F521" t="str">
        <f>_xlfn.XLOOKUP(G521,ecu_admgz_adm2!D:D,ecu_admgz_adm2!C:C)</f>
        <v>Chaguarpamba</v>
      </c>
      <c r="G521" t="str">
        <f t="shared" si="43"/>
        <v>EC1105</v>
      </c>
      <c r="H521" t="str">
        <f t="shared" si="44"/>
        <v>EC11</v>
      </c>
      <c r="I521" t="str">
        <f>_xlfn.XLOOKUP(H521,eci_admgz_adm1!D:D,eci_admgz_adm1!C:C)</f>
        <v>Loja</v>
      </c>
      <c r="J521" t="s">
        <v>2021</v>
      </c>
      <c r="K521" s="1" t="s">
        <v>2023</v>
      </c>
    </row>
    <row r="522" spans="1:11" ht="16" x14ac:dyDescent="0.2">
      <c r="A522" t="s">
        <v>1007</v>
      </c>
      <c r="B522" t="s">
        <v>147</v>
      </c>
      <c r="C522" t="str">
        <f t="shared" si="41"/>
        <v>Amaluza</v>
      </c>
      <c r="D522" t="str">
        <f t="shared" si="40"/>
        <v>Amaluza</v>
      </c>
      <c r="E522" t="str">
        <f t="shared" si="42"/>
        <v>EC110650</v>
      </c>
      <c r="F522" t="str">
        <f>_xlfn.XLOOKUP(G522,ecu_admgz_adm2!D:D,ecu_admgz_adm2!C:C)</f>
        <v>Espíndola</v>
      </c>
      <c r="G522" t="str">
        <f t="shared" si="43"/>
        <v>EC1106</v>
      </c>
      <c r="H522" t="str">
        <f t="shared" si="44"/>
        <v>EC11</v>
      </c>
      <c r="I522" t="str">
        <f>_xlfn.XLOOKUP(H522,eci_admgz_adm1!D:D,eci_admgz_adm1!C:C)</f>
        <v>Loja</v>
      </c>
      <c r="J522" t="s">
        <v>2021</v>
      </c>
      <c r="K522" s="1" t="s">
        <v>2023</v>
      </c>
    </row>
    <row r="523" spans="1:11" ht="16" x14ac:dyDescent="0.2">
      <c r="A523" t="s">
        <v>1008</v>
      </c>
      <c r="B523" t="s">
        <v>608</v>
      </c>
      <c r="C523" t="str">
        <f t="shared" si="41"/>
        <v>Bellavista</v>
      </c>
      <c r="D523" t="str">
        <f t="shared" si="40"/>
        <v>Bellavista</v>
      </c>
      <c r="E523" t="str">
        <f t="shared" si="42"/>
        <v>EC110651</v>
      </c>
      <c r="F523" t="str">
        <f>_xlfn.XLOOKUP(G523,ecu_admgz_adm2!D:D,ecu_admgz_adm2!C:C)</f>
        <v>Espíndola</v>
      </c>
      <c r="G523" t="str">
        <f t="shared" si="43"/>
        <v>EC1106</v>
      </c>
      <c r="H523" t="str">
        <f t="shared" si="44"/>
        <v>EC11</v>
      </c>
      <c r="I523" t="str">
        <f>_xlfn.XLOOKUP(H523,eci_admgz_adm1!D:D,eci_admgz_adm1!C:C)</f>
        <v>Loja</v>
      </c>
      <c r="J523" t="s">
        <v>2021</v>
      </c>
      <c r="K523" s="1" t="s">
        <v>2023</v>
      </c>
    </row>
    <row r="524" spans="1:11" ht="16" x14ac:dyDescent="0.2">
      <c r="A524" t="s">
        <v>1009</v>
      </c>
      <c r="B524" t="s">
        <v>1010</v>
      </c>
      <c r="C524" t="str">
        <f t="shared" si="41"/>
        <v>Jimbura</v>
      </c>
      <c r="D524" t="str">
        <f t="shared" si="40"/>
        <v>Jimbura</v>
      </c>
      <c r="E524" t="str">
        <f t="shared" si="42"/>
        <v>EC110652</v>
      </c>
      <c r="F524" t="str">
        <f>_xlfn.XLOOKUP(G524,ecu_admgz_adm2!D:D,ecu_admgz_adm2!C:C)</f>
        <v>Espíndola</v>
      </c>
      <c r="G524" t="str">
        <f t="shared" si="43"/>
        <v>EC1106</v>
      </c>
      <c r="H524" t="str">
        <f t="shared" si="44"/>
        <v>EC11</v>
      </c>
      <c r="I524" t="str">
        <f>_xlfn.XLOOKUP(H524,eci_admgz_adm1!D:D,eci_admgz_adm1!C:C)</f>
        <v>Loja</v>
      </c>
      <c r="J524" t="s">
        <v>2021</v>
      </c>
      <c r="K524" s="1" t="s">
        <v>2023</v>
      </c>
    </row>
    <row r="525" spans="1:11" ht="16" x14ac:dyDescent="0.2">
      <c r="A525" t="s">
        <v>1011</v>
      </c>
      <c r="B525" t="s">
        <v>1012</v>
      </c>
      <c r="C525" t="str">
        <f t="shared" si="41"/>
        <v>Santa Teresita</v>
      </c>
      <c r="D525" t="str">
        <f t="shared" si="40"/>
        <v>Santa Teresita</v>
      </c>
      <c r="E525" t="str">
        <f t="shared" si="42"/>
        <v>EC110653</v>
      </c>
      <c r="F525" t="str">
        <f>_xlfn.XLOOKUP(G525,ecu_admgz_adm2!D:D,ecu_admgz_adm2!C:C)</f>
        <v>Espíndola</v>
      </c>
      <c r="G525" t="str">
        <f t="shared" si="43"/>
        <v>EC1106</v>
      </c>
      <c r="H525" t="str">
        <f t="shared" si="44"/>
        <v>EC11</v>
      </c>
      <c r="I525" t="str">
        <f>_xlfn.XLOOKUP(H525,eci_admgz_adm1!D:D,eci_admgz_adm1!C:C)</f>
        <v>Loja</v>
      </c>
      <c r="J525" t="s">
        <v>2021</v>
      </c>
      <c r="K525" s="1" t="s">
        <v>2023</v>
      </c>
    </row>
    <row r="526" spans="1:11" ht="16" x14ac:dyDescent="0.2">
      <c r="A526" t="s">
        <v>1013</v>
      </c>
      <c r="B526" t="s">
        <v>1014</v>
      </c>
      <c r="C526" t="str">
        <f t="shared" si="41"/>
        <v>27 De Abril</v>
      </c>
      <c r="D526" t="str">
        <f t="shared" si="40"/>
        <v>27 de Abril</v>
      </c>
      <c r="E526" t="str">
        <f t="shared" si="42"/>
        <v>EC110654</v>
      </c>
      <c r="F526" t="str">
        <f>_xlfn.XLOOKUP(G526,ecu_admgz_adm2!D:D,ecu_admgz_adm2!C:C)</f>
        <v>Espíndola</v>
      </c>
      <c r="G526" t="str">
        <f t="shared" si="43"/>
        <v>EC1106</v>
      </c>
      <c r="H526" t="str">
        <f t="shared" si="44"/>
        <v>EC11</v>
      </c>
      <c r="I526" t="str">
        <f>_xlfn.XLOOKUP(H526,eci_admgz_adm1!D:D,eci_admgz_adm1!C:C)</f>
        <v>Loja</v>
      </c>
      <c r="J526" t="s">
        <v>2021</v>
      </c>
      <c r="K526" s="1" t="s">
        <v>2023</v>
      </c>
    </row>
    <row r="527" spans="1:11" ht="16" x14ac:dyDescent="0.2">
      <c r="A527" t="s">
        <v>1015</v>
      </c>
      <c r="B527" t="s">
        <v>568</v>
      </c>
      <c r="C527" t="str">
        <f t="shared" si="41"/>
        <v>El Ingenio</v>
      </c>
      <c r="D527" t="str">
        <f t="shared" si="40"/>
        <v>El Ingenio</v>
      </c>
      <c r="E527" t="str">
        <f t="shared" si="42"/>
        <v>EC110655</v>
      </c>
      <c r="F527" t="str">
        <f>_xlfn.XLOOKUP(G527,ecu_admgz_adm2!D:D,ecu_admgz_adm2!C:C)</f>
        <v>Espíndola</v>
      </c>
      <c r="G527" t="str">
        <f t="shared" si="43"/>
        <v>EC1106</v>
      </c>
      <c r="H527" t="str">
        <f t="shared" si="44"/>
        <v>EC11</v>
      </c>
      <c r="I527" t="str">
        <f>_xlfn.XLOOKUP(H527,eci_admgz_adm1!D:D,eci_admgz_adm1!C:C)</f>
        <v>Loja</v>
      </c>
      <c r="J527" t="s">
        <v>2021</v>
      </c>
      <c r="K527" s="1" t="s">
        <v>2023</v>
      </c>
    </row>
    <row r="528" spans="1:11" ht="16" x14ac:dyDescent="0.2">
      <c r="A528" t="s">
        <v>1016</v>
      </c>
      <c r="B528" t="s">
        <v>1017</v>
      </c>
      <c r="C528" t="str">
        <f t="shared" si="41"/>
        <v>El Airo</v>
      </c>
      <c r="D528" t="str">
        <f t="shared" si="40"/>
        <v>El Airo</v>
      </c>
      <c r="E528" t="str">
        <f t="shared" si="42"/>
        <v>EC110656</v>
      </c>
      <c r="F528" t="str">
        <f>_xlfn.XLOOKUP(G528,ecu_admgz_adm2!D:D,ecu_admgz_adm2!C:C)</f>
        <v>Espíndola</v>
      </c>
      <c r="G528" t="str">
        <f t="shared" si="43"/>
        <v>EC1106</v>
      </c>
      <c r="H528" t="str">
        <f t="shared" si="44"/>
        <v>EC11</v>
      </c>
      <c r="I528" t="str">
        <f>_xlfn.XLOOKUP(H528,eci_admgz_adm1!D:D,eci_admgz_adm1!C:C)</f>
        <v>Loja</v>
      </c>
      <c r="J528" t="s">
        <v>2021</v>
      </c>
      <c r="K528" s="1" t="s">
        <v>2023</v>
      </c>
    </row>
    <row r="529" spans="1:11" ht="16" x14ac:dyDescent="0.2">
      <c r="A529" t="s">
        <v>1018</v>
      </c>
      <c r="B529" t="s">
        <v>1019</v>
      </c>
      <c r="C529" t="str">
        <f t="shared" si="41"/>
        <v>Gonzanamá</v>
      </c>
      <c r="D529" t="str">
        <f t="shared" si="40"/>
        <v>Gonzanamá</v>
      </c>
      <c r="E529" t="str">
        <f t="shared" si="42"/>
        <v>EC110750</v>
      </c>
      <c r="F529" t="str">
        <f>_xlfn.XLOOKUP(G529,ecu_admgz_adm2!D:D,ecu_admgz_adm2!C:C)</f>
        <v>Gonzanamá</v>
      </c>
      <c r="G529" t="str">
        <f t="shared" si="43"/>
        <v>EC1107</v>
      </c>
      <c r="H529" t="str">
        <f t="shared" si="44"/>
        <v>EC11</v>
      </c>
      <c r="I529" t="str">
        <f>_xlfn.XLOOKUP(H529,eci_admgz_adm1!D:D,eci_admgz_adm1!C:C)</f>
        <v>Loja</v>
      </c>
      <c r="J529" t="s">
        <v>2021</v>
      </c>
      <c r="K529" s="1" t="s">
        <v>2023</v>
      </c>
    </row>
    <row r="530" spans="1:11" ht="16" x14ac:dyDescent="0.2">
      <c r="A530" t="s">
        <v>1020</v>
      </c>
      <c r="B530" t="s">
        <v>1021</v>
      </c>
      <c r="C530" t="str">
        <f t="shared" si="41"/>
        <v>Changaimina</v>
      </c>
      <c r="D530" t="str">
        <f t="shared" si="40"/>
        <v>Changaimina</v>
      </c>
      <c r="E530" t="str">
        <f t="shared" si="42"/>
        <v>EC110751</v>
      </c>
      <c r="F530" t="str">
        <f>_xlfn.XLOOKUP(G530,ecu_admgz_adm2!D:D,ecu_admgz_adm2!C:C)</f>
        <v>Gonzanamá</v>
      </c>
      <c r="G530" t="str">
        <f t="shared" si="43"/>
        <v>EC1107</v>
      </c>
      <c r="H530" t="str">
        <f t="shared" si="44"/>
        <v>EC11</v>
      </c>
      <c r="I530" t="str">
        <f>_xlfn.XLOOKUP(H530,eci_admgz_adm1!D:D,eci_admgz_adm1!C:C)</f>
        <v>Loja</v>
      </c>
      <c r="J530" t="s">
        <v>2021</v>
      </c>
      <c r="K530" s="1" t="s">
        <v>2023</v>
      </c>
    </row>
    <row r="531" spans="1:11" ht="16" x14ac:dyDescent="0.2">
      <c r="A531" t="s">
        <v>1022</v>
      </c>
      <c r="B531" t="s">
        <v>1023</v>
      </c>
      <c r="C531" t="str">
        <f t="shared" si="41"/>
        <v>Nambacola</v>
      </c>
      <c r="D531" t="str">
        <f t="shared" si="40"/>
        <v>Nambacola</v>
      </c>
      <c r="E531" t="str">
        <f t="shared" si="42"/>
        <v>EC110753</v>
      </c>
      <c r="F531" t="str">
        <f>_xlfn.XLOOKUP(G531,ecu_admgz_adm2!D:D,ecu_admgz_adm2!C:C)</f>
        <v>Gonzanamá</v>
      </c>
      <c r="G531" t="str">
        <f t="shared" si="43"/>
        <v>EC1107</v>
      </c>
      <c r="H531" t="str">
        <f t="shared" si="44"/>
        <v>EC11</v>
      </c>
      <c r="I531" t="str">
        <f>_xlfn.XLOOKUP(H531,eci_admgz_adm1!D:D,eci_admgz_adm1!C:C)</f>
        <v>Loja</v>
      </c>
      <c r="J531" t="s">
        <v>2021</v>
      </c>
      <c r="K531" s="1" t="s">
        <v>2023</v>
      </c>
    </row>
    <row r="532" spans="1:11" ht="16" x14ac:dyDescent="0.2">
      <c r="A532" t="s">
        <v>1024</v>
      </c>
      <c r="B532" t="s">
        <v>1025</v>
      </c>
      <c r="C532" t="str">
        <f t="shared" si="41"/>
        <v>Purunuma</v>
      </c>
      <c r="D532" t="str">
        <f t="shared" si="40"/>
        <v>Purunuma</v>
      </c>
      <c r="E532" t="str">
        <f t="shared" si="42"/>
        <v>EC110754</v>
      </c>
      <c r="F532" t="str">
        <f>_xlfn.XLOOKUP(G532,ecu_admgz_adm2!D:D,ecu_admgz_adm2!C:C)</f>
        <v>Gonzanamá</v>
      </c>
      <c r="G532" t="str">
        <f t="shared" si="43"/>
        <v>EC1107</v>
      </c>
      <c r="H532" t="str">
        <f t="shared" si="44"/>
        <v>EC11</v>
      </c>
      <c r="I532" t="str">
        <f>_xlfn.XLOOKUP(H532,eci_admgz_adm1!D:D,eci_admgz_adm1!C:C)</f>
        <v>Loja</v>
      </c>
      <c r="J532" t="s">
        <v>2021</v>
      </c>
      <c r="K532" s="1" t="s">
        <v>2023</v>
      </c>
    </row>
    <row r="533" spans="1:11" ht="16" x14ac:dyDescent="0.2">
      <c r="A533" t="s">
        <v>1026</v>
      </c>
      <c r="B533" t="s">
        <v>1027</v>
      </c>
      <c r="C533" t="str">
        <f t="shared" si="41"/>
        <v>Sacapalca</v>
      </c>
      <c r="D533" t="str">
        <f t="shared" si="40"/>
        <v>Sacapalca</v>
      </c>
      <c r="E533" t="str">
        <f t="shared" si="42"/>
        <v>EC110756</v>
      </c>
      <c r="F533" t="str">
        <f>_xlfn.XLOOKUP(G533,ecu_admgz_adm2!D:D,ecu_admgz_adm2!C:C)</f>
        <v>Gonzanamá</v>
      </c>
      <c r="G533" t="str">
        <f t="shared" si="43"/>
        <v>EC1107</v>
      </c>
      <c r="H533" t="str">
        <f t="shared" si="44"/>
        <v>EC11</v>
      </c>
      <c r="I533" t="str">
        <f>_xlfn.XLOOKUP(H533,eci_admgz_adm1!D:D,eci_admgz_adm1!C:C)</f>
        <v>Loja</v>
      </c>
      <c r="J533" t="s">
        <v>2021</v>
      </c>
      <c r="K533" s="1" t="s">
        <v>2023</v>
      </c>
    </row>
    <row r="534" spans="1:11" ht="16" x14ac:dyDescent="0.2">
      <c r="A534" t="s">
        <v>1028</v>
      </c>
      <c r="B534" t="s">
        <v>1029</v>
      </c>
      <c r="C534" t="str">
        <f t="shared" si="41"/>
        <v>Macará</v>
      </c>
      <c r="D534" t="str">
        <f t="shared" si="40"/>
        <v>Macará</v>
      </c>
      <c r="E534" t="str">
        <f t="shared" si="42"/>
        <v>EC110850</v>
      </c>
      <c r="F534" t="str">
        <f>_xlfn.XLOOKUP(G534,ecu_admgz_adm2!D:D,ecu_admgz_adm2!C:C)</f>
        <v>Macará</v>
      </c>
      <c r="G534" t="str">
        <f t="shared" si="43"/>
        <v>EC1108</v>
      </c>
      <c r="H534" t="str">
        <f t="shared" si="44"/>
        <v>EC11</v>
      </c>
      <c r="I534" t="str">
        <f>_xlfn.XLOOKUP(H534,eci_admgz_adm1!D:D,eci_admgz_adm1!C:C)</f>
        <v>Loja</v>
      </c>
      <c r="J534" t="s">
        <v>2021</v>
      </c>
      <c r="K534" s="1" t="s">
        <v>2023</v>
      </c>
    </row>
    <row r="535" spans="1:11" ht="16" x14ac:dyDescent="0.2">
      <c r="A535" t="s">
        <v>1030</v>
      </c>
      <c r="B535" t="s">
        <v>1031</v>
      </c>
      <c r="C535" t="str">
        <f t="shared" si="41"/>
        <v>Larama</v>
      </c>
      <c r="D535" t="str">
        <f t="shared" si="40"/>
        <v>Larama</v>
      </c>
      <c r="E535" t="str">
        <f t="shared" si="42"/>
        <v>EC110851</v>
      </c>
      <c r="F535" t="str">
        <f>_xlfn.XLOOKUP(G535,ecu_admgz_adm2!D:D,ecu_admgz_adm2!C:C)</f>
        <v>Macará</v>
      </c>
      <c r="G535" t="str">
        <f t="shared" si="43"/>
        <v>EC1108</v>
      </c>
      <c r="H535" t="str">
        <f t="shared" si="44"/>
        <v>EC11</v>
      </c>
      <c r="I535" t="str">
        <f>_xlfn.XLOOKUP(H535,eci_admgz_adm1!D:D,eci_admgz_adm1!C:C)</f>
        <v>Loja</v>
      </c>
      <c r="J535" t="s">
        <v>2021</v>
      </c>
      <c r="K535" s="1" t="s">
        <v>2023</v>
      </c>
    </row>
    <row r="536" spans="1:11" ht="16" x14ac:dyDescent="0.2">
      <c r="A536" t="s">
        <v>1032</v>
      </c>
      <c r="B536" t="s">
        <v>377</v>
      </c>
      <c r="C536" t="str">
        <f t="shared" si="41"/>
        <v>La Victoria</v>
      </c>
      <c r="D536" t="str">
        <f t="shared" si="40"/>
        <v>La Victoria</v>
      </c>
      <c r="E536" t="str">
        <f t="shared" si="42"/>
        <v>EC110852</v>
      </c>
      <c r="F536" t="str">
        <f>_xlfn.XLOOKUP(G536,ecu_admgz_adm2!D:D,ecu_admgz_adm2!C:C)</f>
        <v>Macará</v>
      </c>
      <c r="G536" t="str">
        <f t="shared" si="43"/>
        <v>EC1108</v>
      </c>
      <c r="H536" t="str">
        <f t="shared" si="44"/>
        <v>EC11</v>
      </c>
      <c r="I536" t="str">
        <f>_xlfn.XLOOKUP(H536,eci_admgz_adm1!D:D,eci_admgz_adm1!C:C)</f>
        <v>Loja</v>
      </c>
      <c r="J536" t="s">
        <v>2021</v>
      </c>
      <c r="K536" s="1" t="s">
        <v>2023</v>
      </c>
    </row>
    <row r="537" spans="1:11" ht="16" x14ac:dyDescent="0.2">
      <c r="A537" t="s">
        <v>1033</v>
      </c>
      <c r="B537" t="s">
        <v>1034</v>
      </c>
      <c r="C537" t="str">
        <f t="shared" si="41"/>
        <v>Sabiango</v>
      </c>
      <c r="D537" t="str">
        <f t="shared" si="40"/>
        <v>Sabiango</v>
      </c>
      <c r="E537" t="str">
        <f t="shared" si="42"/>
        <v>EC110853</v>
      </c>
      <c r="F537" t="str">
        <f>_xlfn.XLOOKUP(G537,ecu_admgz_adm2!D:D,ecu_admgz_adm2!C:C)</f>
        <v>Macará</v>
      </c>
      <c r="G537" t="str">
        <f t="shared" si="43"/>
        <v>EC1108</v>
      </c>
      <c r="H537" t="str">
        <f t="shared" si="44"/>
        <v>EC11</v>
      </c>
      <c r="I537" t="str">
        <f>_xlfn.XLOOKUP(H537,eci_admgz_adm1!D:D,eci_admgz_adm1!C:C)</f>
        <v>Loja</v>
      </c>
      <c r="J537" t="s">
        <v>2021</v>
      </c>
      <c r="K537" s="1" t="s">
        <v>2023</v>
      </c>
    </row>
    <row r="538" spans="1:11" ht="16" x14ac:dyDescent="0.2">
      <c r="A538" t="s">
        <v>1035</v>
      </c>
      <c r="B538" t="s">
        <v>1036</v>
      </c>
      <c r="C538" t="str">
        <f t="shared" si="41"/>
        <v>Catacocha</v>
      </c>
      <c r="D538" t="str">
        <f t="shared" si="40"/>
        <v>Catacocha</v>
      </c>
      <c r="E538" t="str">
        <f t="shared" si="42"/>
        <v>EC110950</v>
      </c>
      <c r="F538" t="str">
        <f>_xlfn.XLOOKUP(G538,ecu_admgz_adm2!D:D,ecu_admgz_adm2!C:C)</f>
        <v>Paltas</v>
      </c>
      <c r="G538" t="str">
        <f t="shared" si="43"/>
        <v>EC1109</v>
      </c>
      <c r="H538" t="str">
        <f t="shared" si="44"/>
        <v>EC11</v>
      </c>
      <c r="I538" t="str">
        <f>_xlfn.XLOOKUP(H538,eci_admgz_adm1!D:D,eci_admgz_adm1!C:C)</f>
        <v>Loja</v>
      </c>
      <c r="J538" t="s">
        <v>2021</v>
      </c>
      <c r="K538" s="1" t="s">
        <v>2023</v>
      </c>
    </row>
    <row r="539" spans="1:11" ht="16" x14ac:dyDescent="0.2">
      <c r="A539" t="s">
        <v>1037</v>
      </c>
      <c r="B539" t="s">
        <v>1038</v>
      </c>
      <c r="C539" t="str">
        <f t="shared" si="41"/>
        <v>Cangonamá</v>
      </c>
      <c r="D539" t="str">
        <f t="shared" si="40"/>
        <v>Cangonamá</v>
      </c>
      <c r="E539" t="str">
        <f t="shared" si="42"/>
        <v>EC110951</v>
      </c>
      <c r="F539" t="str">
        <f>_xlfn.XLOOKUP(G539,ecu_admgz_adm2!D:D,ecu_admgz_adm2!C:C)</f>
        <v>Paltas</v>
      </c>
      <c r="G539" t="str">
        <f t="shared" si="43"/>
        <v>EC1109</v>
      </c>
      <c r="H539" t="str">
        <f t="shared" si="44"/>
        <v>EC11</v>
      </c>
      <c r="I539" t="str">
        <f>_xlfn.XLOOKUP(H539,eci_admgz_adm1!D:D,eci_admgz_adm1!C:C)</f>
        <v>Loja</v>
      </c>
      <c r="J539" t="s">
        <v>2021</v>
      </c>
      <c r="K539" s="1" t="s">
        <v>2023</v>
      </c>
    </row>
    <row r="540" spans="1:11" ht="16" x14ac:dyDescent="0.2">
      <c r="A540" t="s">
        <v>1039</v>
      </c>
      <c r="B540" t="s">
        <v>1040</v>
      </c>
      <c r="C540" t="str">
        <f t="shared" si="41"/>
        <v>Guachanamá</v>
      </c>
      <c r="D540" t="str">
        <f t="shared" si="40"/>
        <v>Guachanamá</v>
      </c>
      <c r="E540" t="str">
        <f t="shared" si="42"/>
        <v>EC110952</v>
      </c>
      <c r="F540" t="str">
        <f>_xlfn.XLOOKUP(G540,ecu_admgz_adm2!D:D,ecu_admgz_adm2!C:C)</f>
        <v>Paltas</v>
      </c>
      <c r="G540" t="str">
        <f t="shared" si="43"/>
        <v>EC1109</v>
      </c>
      <c r="H540" t="str">
        <f t="shared" si="44"/>
        <v>EC11</v>
      </c>
      <c r="I540" t="str">
        <f>_xlfn.XLOOKUP(H540,eci_admgz_adm1!D:D,eci_admgz_adm1!C:C)</f>
        <v>Loja</v>
      </c>
      <c r="J540" t="s">
        <v>2021</v>
      </c>
      <c r="K540" s="1" t="s">
        <v>2023</v>
      </c>
    </row>
    <row r="541" spans="1:11" ht="16" x14ac:dyDescent="0.2">
      <c r="A541" t="s">
        <v>1041</v>
      </c>
      <c r="B541" t="s">
        <v>1042</v>
      </c>
      <c r="C541" t="str">
        <f t="shared" si="41"/>
        <v>Lauro Guerrero</v>
      </c>
      <c r="D541" t="str">
        <f t="shared" si="40"/>
        <v>Lauro Guerrero</v>
      </c>
      <c r="E541" t="str">
        <f t="shared" si="42"/>
        <v>EC110954</v>
      </c>
      <c r="F541" t="str">
        <f>_xlfn.XLOOKUP(G541,ecu_admgz_adm2!D:D,ecu_admgz_adm2!C:C)</f>
        <v>Paltas</v>
      </c>
      <c r="G541" t="str">
        <f t="shared" si="43"/>
        <v>EC1109</v>
      </c>
      <c r="H541" t="str">
        <f t="shared" si="44"/>
        <v>EC11</v>
      </c>
      <c r="I541" t="str">
        <f>_xlfn.XLOOKUP(H541,eci_admgz_adm1!D:D,eci_admgz_adm1!C:C)</f>
        <v>Loja</v>
      </c>
      <c r="J541" t="s">
        <v>2021</v>
      </c>
      <c r="K541" s="1" t="s">
        <v>2023</v>
      </c>
    </row>
    <row r="542" spans="1:11" ht="16" x14ac:dyDescent="0.2">
      <c r="A542" t="s">
        <v>1043</v>
      </c>
      <c r="B542" t="s">
        <v>1044</v>
      </c>
      <c r="C542" t="str">
        <f t="shared" si="41"/>
        <v>Orianga</v>
      </c>
      <c r="D542" t="str">
        <f t="shared" si="40"/>
        <v>Orianga</v>
      </c>
      <c r="E542" t="str">
        <f t="shared" si="42"/>
        <v>EC110956</v>
      </c>
      <c r="F542" t="str">
        <f>_xlfn.XLOOKUP(G542,ecu_admgz_adm2!D:D,ecu_admgz_adm2!C:C)</f>
        <v>Paltas</v>
      </c>
      <c r="G542" t="str">
        <f t="shared" si="43"/>
        <v>EC1109</v>
      </c>
      <c r="H542" t="str">
        <f t="shared" si="44"/>
        <v>EC11</v>
      </c>
      <c r="I542" t="str">
        <f>_xlfn.XLOOKUP(H542,eci_admgz_adm1!D:D,eci_admgz_adm1!C:C)</f>
        <v>Loja</v>
      </c>
      <c r="J542" t="s">
        <v>2021</v>
      </c>
      <c r="K542" s="1" t="s">
        <v>2023</v>
      </c>
    </row>
    <row r="543" spans="1:11" ht="16" x14ac:dyDescent="0.2">
      <c r="A543" t="s">
        <v>1045</v>
      </c>
      <c r="B543" t="s">
        <v>250</v>
      </c>
      <c r="C543" t="str">
        <f t="shared" si="41"/>
        <v>San Antonio</v>
      </c>
      <c r="D543" t="str">
        <f t="shared" si="40"/>
        <v>San Antonio</v>
      </c>
      <c r="E543" t="str">
        <f t="shared" si="42"/>
        <v>EC110957</v>
      </c>
      <c r="F543" t="str">
        <f>_xlfn.XLOOKUP(G543,ecu_admgz_adm2!D:D,ecu_admgz_adm2!C:C)</f>
        <v>Paltas</v>
      </c>
      <c r="G543" t="str">
        <f t="shared" si="43"/>
        <v>EC1109</v>
      </c>
      <c r="H543" t="str">
        <f t="shared" si="44"/>
        <v>EC11</v>
      </c>
      <c r="I543" t="str">
        <f>_xlfn.XLOOKUP(H543,eci_admgz_adm1!D:D,eci_admgz_adm1!C:C)</f>
        <v>Loja</v>
      </c>
      <c r="J543" t="s">
        <v>2021</v>
      </c>
      <c r="K543" s="1" t="s">
        <v>2023</v>
      </c>
    </row>
    <row r="544" spans="1:11" ht="16" x14ac:dyDescent="0.2">
      <c r="A544" t="s">
        <v>1046</v>
      </c>
      <c r="B544" t="s">
        <v>1047</v>
      </c>
      <c r="C544" t="str">
        <f t="shared" si="41"/>
        <v>Casanga</v>
      </c>
      <c r="D544" t="str">
        <f t="shared" si="40"/>
        <v>Casanga</v>
      </c>
      <c r="E544" t="str">
        <f t="shared" si="42"/>
        <v>EC110958</v>
      </c>
      <c r="F544" t="str">
        <f>_xlfn.XLOOKUP(G544,ecu_admgz_adm2!D:D,ecu_admgz_adm2!C:C)</f>
        <v>Paltas</v>
      </c>
      <c r="G544" t="str">
        <f t="shared" si="43"/>
        <v>EC1109</v>
      </c>
      <c r="H544" t="str">
        <f t="shared" si="44"/>
        <v>EC11</v>
      </c>
      <c r="I544" t="str">
        <f>_xlfn.XLOOKUP(H544,eci_admgz_adm1!D:D,eci_admgz_adm1!C:C)</f>
        <v>Loja</v>
      </c>
      <c r="J544" t="s">
        <v>2021</v>
      </c>
      <c r="K544" s="1" t="s">
        <v>2023</v>
      </c>
    </row>
    <row r="545" spans="1:11" ht="16" x14ac:dyDescent="0.2">
      <c r="A545" t="s">
        <v>1048</v>
      </c>
      <c r="B545" t="s">
        <v>1049</v>
      </c>
      <c r="C545" t="str">
        <f t="shared" si="41"/>
        <v>Yamana</v>
      </c>
      <c r="D545" t="str">
        <f t="shared" si="40"/>
        <v>Yamana</v>
      </c>
      <c r="E545" t="str">
        <f t="shared" si="42"/>
        <v>EC110959</v>
      </c>
      <c r="F545" t="str">
        <f>_xlfn.XLOOKUP(G545,ecu_admgz_adm2!D:D,ecu_admgz_adm2!C:C)</f>
        <v>Paltas</v>
      </c>
      <c r="G545" t="str">
        <f t="shared" si="43"/>
        <v>EC1109</v>
      </c>
      <c r="H545" t="str">
        <f t="shared" si="44"/>
        <v>EC11</v>
      </c>
      <c r="I545" t="str">
        <f>_xlfn.XLOOKUP(H545,eci_admgz_adm1!D:D,eci_admgz_adm1!C:C)</f>
        <v>Loja</v>
      </c>
      <c r="J545" t="s">
        <v>2021</v>
      </c>
      <c r="K545" s="1" t="s">
        <v>2023</v>
      </c>
    </row>
    <row r="546" spans="1:11" ht="16" x14ac:dyDescent="0.2">
      <c r="A546" t="s">
        <v>1050</v>
      </c>
      <c r="B546" t="s">
        <v>1051</v>
      </c>
      <c r="C546" t="str">
        <f t="shared" si="41"/>
        <v>Alamor</v>
      </c>
      <c r="D546" t="str">
        <f t="shared" si="40"/>
        <v>Alamor</v>
      </c>
      <c r="E546" t="str">
        <f t="shared" si="42"/>
        <v>EC111050</v>
      </c>
      <c r="F546" t="str">
        <f>_xlfn.XLOOKUP(G546,ecu_admgz_adm2!D:D,ecu_admgz_adm2!C:C)</f>
        <v>Puyango</v>
      </c>
      <c r="G546" t="str">
        <f t="shared" si="43"/>
        <v>EC1110</v>
      </c>
      <c r="H546" t="str">
        <f t="shared" si="44"/>
        <v>EC11</v>
      </c>
      <c r="I546" t="str">
        <f>_xlfn.XLOOKUP(H546,eci_admgz_adm1!D:D,eci_admgz_adm1!C:C)</f>
        <v>Loja</v>
      </c>
      <c r="J546" t="s">
        <v>2021</v>
      </c>
      <c r="K546" s="1" t="s">
        <v>2023</v>
      </c>
    </row>
    <row r="547" spans="1:11" ht="16" x14ac:dyDescent="0.2">
      <c r="A547" t="s">
        <v>1052</v>
      </c>
      <c r="B547" t="s">
        <v>1053</v>
      </c>
      <c r="C547" t="str">
        <f t="shared" si="41"/>
        <v>Ciano</v>
      </c>
      <c r="D547" t="str">
        <f t="shared" si="40"/>
        <v>Ciano</v>
      </c>
      <c r="E547" t="str">
        <f t="shared" si="42"/>
        <v>EC111051</v>
      </c>
      <c r="F547" t="str">
        <f>_xlfn.XLOOKUP(G547,ecu_admgz_adm2!D:D,ecu_admgz_adm2!C:C)</f>
        <v>Puyango</v>
      </c>
      <c r="G547" t="str">
        <f t="shared" si="43"/>
        <v>EC1110</v>
      </c>
      <c r="H547" t="str">
        <f t="shared" si="44"/>
        <v>EC11</v>
      </c>
      <c r="I547" t="str">
        <f>_xlfn.XLOOKUP(H547,eci_admgz_adm1!D:D,eci_admgz_adm1!C:C)</f>
        <v>Loja</v>
      </c>
      <c r="J547" t="s">
        <v>2021</v>
      </c>
      <c r="K547" s="1" t="s">
        <v>2023</v>
      </c>
    </row>
    <row r="548" spans="1:11" ht="16" x14ac:dyDescent="0.2">
      <c r="A548" t="s">
        <v>1054</v>
      </c>
      <c r="B548" t="s">
        <v>1055</v>
      </c>
      <c r="C548" t="str">
        <f t="shared" si="41"/>
        <v>El Arenal</v>
      </c>
      <c r="D548" t="str">
        <f t="shared" si="40"/>
        <v>El Arenal</v>
      </c>
      <c r="E548" t="str">
        <f t="shared" si="42"/>
        <v>EC111052</v>
      </c>
      <c r="F548" t="str">
        <f>_xlfn.XLOOKUP(G548,ecu_admgz_adm2!D:D,ecu_admgz_adm2!C:C)</f>
        <v>Puyango</v>
      </c>
      <c r="G548" t="str">
        <f t="shared" si="43"/>
        <v>EC1110</v>
      </c>
      <c r="H548" t="str">
        <f t="shared" si="44"/>
        <v>EC11</v>
      </c>
      <c r="I548" t="str">
        <f>_xlfn.XLOOKUP(H548,eci_admgz_adm1!D:D,eci_admgz_adm1!C:C)</f>
        <v>Loja</v>
      </c>
      <c r="J548" t="s">
        <v>2021</v>
      </c>
      <c r="K548" s="1" t="s">
        <v>2023</v>
      </c>
    </row>
    <row r="549" spans="1:11" ht="16" x14ac:dyDescent="0.2">
      <c r="A549" t="s">
        <v>1056</v>
      </c>
      <c r="B549" t="s">
        <v>1057</v>
      </c>
      <c r="C549" t="str">
        <f t="shared" si="41"/>
        <v>El Limo</v>
      </c>
      <c r="D549" t="str">
        <f t="shared" si="40"/>
        <v>El Limo</v>
      </c>
      <c r="E549" t="str">
        <f t="shared" si="42"/>
        <v>EC111053</v>
      </c>
      <c r="F549" t="str">
        <f>_xlfn.XLOOKUP(G549,ecu_admgz_adm2!D:D,ecu_admgz_adm2!C:C)</f>
        <v>Puyango</v>
      </c>
      <c r="G549" t="str">
        <f t="shared" si="43"/>
        <v>EC1110</v>
      </c>
      <c r="H549" t="str">
        <f t="shared" si="44"/>
        <v>EC11</v>
      </c>
      <c r="I549" t="str">
        <f>_xlfn.XLOOKUP(H549,eci_admgz_adm1!D:D,eci_admgz_adm1!C:C)</f>
        <v>Loja</v>
      </c>
      <c r="J549" t="s">
        <v>2021</v>
      </c>
      <c r="K549" s="1" t="s">
        <v>2023</v>
      </c>
    </row>
    <row r="550" spans="1:11" ht="16" x14ac:dyDescent="0.2">
      <c r="A550" t="s">
        <v>1058</v>
      </c>
      <c r="B550" t="s">
        <v>1059</v>
      </c>
      <c r="C550" t="str">
        <f t="shared" si="41"/>
        <v>Mercadillo</v>
      </c>
      <c r="D550" t="str">
        <f t="shared" si="40"/>
        <v>Mercadillo</v>
      </c>
      <c r="E550" t="str">
        <f t="shared" si="42"/>
        <v>EC111054</v>
      </c>
      <c r="F550" t="str">
        <f>_xlfn.XLOOKUP(G550,ecu_admgz_adm2!D:D,ecu_admgz_adm2!C:C)</f>
        <v>Puyango</v>
      </c>
      <c r="G550" t="str">
        <f t="shared" si="43"/>
        <v>EC1110</v>
      </c>
      <c r="H550" t="str">
        <f t="shared" si="44"/>
        <v>EC11</v>
      </c>
      <c r="I550" t="str">
        <f>_xlfn.XLOOKUP(H550,eci_admgz_adm1!D:D,eci_admgz_adm1!C:C)</f>
        <v>Loja</v>
      </c>
      <c r="J550" t="s">
        <v>2021</v>
      </c>
      <c r="K550" s="1" t="s">
        <v>2023</v>
      </c>
    </row>
    <row r="551" spans="1:11" ht="16" x14ac:dyDescent="0.2">
      <c r="A551" t="s">
        <v>1060</v>
      </c>
      <c r="B551" t="s">
        <v>1061</v>
      </c>
      <c r="C551" t="str">
        <f t="shared" si="41"/>
        <v>Vicentino</v>
      </c>
      <c r="D551" t="str">
        <f t="shared" si="40"/>
        <v>Vicentino</v>
      </c>
      <c r="E551" t="str">
        <f t="shared" si="42"/>
        <v>EC111055</v>
      </c>
      <c r="F551" t="str">
        <f>_xlfn.XLOOKUP(G551,ecu_admgz_adm2!D:D,ecu_admgz_adm2!C:C)</f>
        <v>Puyango</v>
      </c>
      <c r="G551" t="str">
        <f t="shared" si="43"/>
        <v>EC1110</v>
      </c>
      <c r="H551" t="str">
        <f t="shared" si="44"/>
        <v>EC11</v>
      </c>
      <c r="I551" t="str">
        <f>_xlfn.XLOOKUP(H551,eci_admgz_adm1!D:D,eci_admgz_adm1!C:C)</f>
        <v>Loja</v>
      </c>
      <c r="J551" t="s">
        <v>2021</v>
      </c>
      <c r="K551" s="1" t="s">
        <v>2023</v>
      </c>
    </row>
    <row r="552" spans="1:11" ht="16" x14ac:dyDescent="0.2">
      <c r="A552" t="s">
        <v>1062</v>
      </c>
      <c r="B552" t="s">
        <v>1063</v>
      </c>
      <c r="C552" t="str">
        <f t="shared" si="41"/>
        <v>Saraguro</v>
      </c>
      <c r="D552" t="str">
        <f t="shared" si="40"/>
        <v>Saraguro</v>
      </c>
      <c r="E552" t="str">
        <f t="shared" si="42"/>
        <v>EC111150</v>
      </c>
      <c r="F552" t="str">
        <f>_xlfn.XLOOKUP(G552,ecu_admgz_adm2!D:D,ecu_admgz_adm2!C:C)</f>
        <v>Saraguro</v>
      </c>
      <c r="G552" t="str">
        <f t="shared" si="43"/>
        <v>EC1111</v>
      </c>
      <c r="H552" t="str">
        <f t="shared" si="44"/>
        <v>EC11</v>
      </c>
      <c r="I552" t="str">
        <f>_xlfn.XLOOKUP(H552,eci_admgz_adm1!D:D,eci_admgz_adm1!C:C)</f>
        <v>Loja</v>
      </c>
      <c r="J552" t="s">
        <v>2021</v>
      </c>
      <c r="K552" s="1" t="s">
        <v>2023</v>
      </c>
    </row>
    <row r="553" spans="1:11" ht="16" x14ac:dyDescent="0.2">
      <c r="A553" t="s">
        <v>1064</v>
      </c>
      <c r="B553" t="s">
        <v>1065</v>
      </c>
      <c r="C553" t="str">
        <f t="shared" si="41"/>
        <v>El Paraíso De Celen</v>
      </c>
      <c r="D553" t="str">
        <f t="shared" si="40"/>
        <v>El Paraíso de Celen</v>
      </c>
      <c r="E553" t="str">
        <f t="shared" si="42"/>
        <v>EC111151</v>
      </c>
      <c r="F553" t="str">
        <f>_xlfn.XLOOKUP(G553,ecu_admgz_adm2!D:D,ecu_admgz_adm2!C:C)</f>
        <v>Saraguro</v>
      </c>
      <c r="G553" t="str">
        <f t="shared" si="43"/>
        <v>EC1111</v>
      </c>
      <c r="H553" t="str">
        <f t="shared" si="44"/>
        <v>EC11</v>
      </c>
      <c r="I553" t="str">
        <f>_xlfn.XLOOKUP(H553,eci_admgz_adm1!D:D,eci_admgz_adm1!C:C)</f>
        <v>Loja</v>
      </c>
      <c r="J553" t="s">
        <v>2021</v>
      </c>
      <c r="K553" s="1" t="s">
        <v>2023</v>
      </c>
    </row>
    <row r="554" spans="1:11" ht="16" x14ac:dyDescent="0.2">
      <c r="A554" t="s">
        <v>1066</v>
      </c>
      <c r="B554" t="s">
        <v>1067</v>
      </c>
      <c r="C554" t="str">
        <f t="shared" si="41"/>
        <v>El Tablón</v>
      </c>
      <c r="D554" t="str">
        <f t="shared" si="40"/>
        <v>El Tablón</v>
      </c>
      <c r="E554" t="str">
        <f t="shared" si="42"/>
        <v>EC111152</v>
      </c>
      <c r="F554" t="str">
        <f>_xlfn.XLOOKUP(G554,ecu_admgz_adm2!D:D,ecu_admgz_adm2!C:C)</f>
        <v>Saraguro</v>
      </c>
      <c r="G554" t="str">
        <f t="shared" si="43"/>
        <v>EC1111</v>
      </c>
      <c r="H554" t="str">
        <f t="shared" si="44"/>
        <v>EC11</v>
      </c>
      <c r="I554" t="str">
        <f>_xlfn.XLOOKUP(H554,eci_admgz_adm1!D:D,eci_admgz_adm1!C:C)</f>
        <v>Loja</v>
      </c>
      <c r="J554" t="s">
        <v>2021</v>
      </c>
      <c r="K554" s="1" t="s">
        <v>2023</v>
      </c>
    </row>
    <row r="555" spans="1:11" ht="16" x14ac:dyDescent="0.2">
      <c r="A555" t="s">
        <v>1068</v>
      </c>
      <c r="B555" t="s">
        <v>1069</v>
      </c>
      <c r="C555" t="str">
        <f t="shared" si="41"/>
        <v>Lluzhapa</v>
      </c>
      <c r="D555" t="str">
        <f t="shared" si="40"/>
        <v>Lluzhapa</v>
      </c>
      <c r="E555" t="str">
        <f t="shared" si="42"/>
        <v>EC111153</v>
      </c>
      <c r="F555" t="str">
        <f>_xlfn.XLOOKUP(G555,ecu_admgz_adm2!D:D,ecu_admgz_adm2!C:C)</f>
        <v>Saraguro</v>
      </c>
      <c r="G555" t="str">
        <f t="shared" si="43"/>
        <v>EC1111</v>
      </c>
      <c r="H555" t="str">
        <f t="shared" si="44"/>
        <v>EC11</v>
      </c>
      <c r="I555" t="str">
        <f>_xlfn.XLOOKUP(H555,eci_admgz_adm1!D:D,eci_admgz_adm1!C:C)</f>
        <v>Loja</v>
      </c>
      <c r="J555" t="s">
        <v>2021</v>
      </c>
      <c r="K555" s="1" t="s">
        <v>2023</v>
      </c>
    </row>
    <row r="556" spans="1:11" ht="16" x14ac:dyDescent="0.2">
      <c r="A556" t="s">
        <v>1070</v>
      </c>
      <c r="B556" t="s">
        <v>1071</v>
      </c>
      <c r="C556" t="str">
        <f t="shared" si="41"/>
        <v>Manú</v>
      </c>
      <c r="D556" t="str">
        <f t="shared" si="40"/>
        <v>Manú</v>
      </c>
      <c r="E556" t="str">
        <f t="shared" si="42"/>
        <v>EC111154</v>
      </c>
      <c r="F556" t="str">
        <f>_xlfn.XLOOKUP(G556,ecu_admgz_adm2!D:D,ecu_admgz_adm2!C:C)</f>
        <v>Saraguro</v>
      </c>
      <c r="G556" t="str">
        <f t="shared" si="43"/>
        <v>EC1111</v>
      </c>
      <c r="H556" t="str">
        <f t="shared" si="44"/>
        <v>EC11</v>
      </c>
      <c r="I556" t="str">
        <f>_xlfn.XLOOKUP(H556,eci_admgz_adm1!D:D,eci_admgz_adm1!C:C)</f>
        <v>Loja</v>
      </c>
      <c r="J556" t="s">
        <v>2021</v>
      </c>
      <c r="K556" s="1" t="s">
        <v>2023</v>
      </c>
    </row>
    <row r="557" spans="1:11" ht="16" x14ac:dyDescent="0.2">
      <c r="A557" t="s">
        <v>1072</v>
      </c>
      <c r="B557" t="s">
        <v>1073</v>
      </c>
      <c r="C557" t="str">
        <f t="shared" si="41"/>
        <v>San Antonio De Qumbe</v>
      </c>
      <c r="D557" t="str">
        <f t="shared" si="40"/>
        <v>San Antonio de Qumbe</v>
      </c>
      <c r="E557" t="str">
        <f t="shared" si="42"/>
        <v>EC111155</v>
      </c>
      <c r="F557" t="str">
        <f>_xlfn.XLOOKUP(G557,ecu_admgz_adm2!D:D,ecu_admgz_adm2!C:C)</f>
        <v>Saraguro</v>
      </c>
      <c r="G557" t="str">
        <f t="shared" si="43"/>
        <v>EC1111</v>
      </c>
      <c r="H557" t="str">
        <f t="shared" si="44"/>
        <v>EC11</v>
      </c>
      <c r="I557" t="str">
        <f>_xlfn.XLOOKUP(H557,eci_admgz_adm1!D:D,eci_admgz_adm1!C:C)</f>
        <v>Loja</v>
      </c>
      <c r="J557" t="s">
        <v>2021</v>
      </c>
      <c r="K557" s="1" t="s">
        <v>2023</v>
      </c>
    </row>
    <row r="558" spans="1:11" ht="16" x14ac:dyDescent="0.2">
      <c r="A558" t="s">
        <v>1074</v>
      </c>
      <c r="B558" t="s">
        <v>1075</v>
      </c>
      <c r="C558" t="str">
        <f t="shared" si="41"/>
        <v>San Pablo De Tenta</v>
      </c>
      <c r="D558" t="str">
        <f t="shared" si="40"/>
        <v>San Pablo de Tenta</v>
      </c>
      <c r="E558" t="str">
        <f t="shared" si="42"/>
        <v>EC111156</v>
      </c>
      <c r="F558" t="str">
        <f>_xlfn.XLOOKUP(G558,ecu_admgz_adm2!D:D,ecu_admgz_adm2!C:C)</f>
        <v>Saraguro</v>
      </c>
      <c r="G558" t="str">
        <f t="shared" si="43"/>
        <v>EC1111</v>
      </c>
      <c r="H558" t="str">
        <f t="shared" si="44"/>
        <v>EC11</v>
      </c>
      <c r="I558" t="str">
        <f>_xlfn.XLOOKUP(H558,eci_admgz_adm1!D:D,eci_admgz_adm1!C:C)</f>
        <v>Loja</v>
      </c>
      <c r="J558" t="s">
        <v>2021</v>
      </c>
      <c r="K558" s="1" t="s">
        <v>2023</v>
      </c>
    </row>
    <row r="559" spans="1:11" ht="16" x14ac:dyDescent="0.2">
      <c r="A559" t="s">
        <v>1076</v>
      </c>
      <c r="B559" t="s">
        <v>1077</v>
      </c>
      <c r="C559" t="str">
        <f t="shared" si="41"/>
        <v>San Sebastián De Yúluc</v>
      </c>
      <c r="D559" t="str">
        <f t="shared" si="40"/>
        <v>San Sebastián de Yúluc</v>
      </c>
      <c r="E559" t="str">
        <f t="shared" si="42"/>
        <v>EC111157</v>
      </c>
      <c r="F559" t="str">
        <f>_xlfn.XLOOKUP(G559,ecu_admgz_adm2!D:D,ecu_admgz_adm2!C:C)</f>
        <v>Saraguro</v>
      </c>
      <c r="G559" t="str">
        <f t="shared" si="43"/>
        <v>EC1111</v>
      </c>
      <c r="H559" t="str">
        <f t="shared" si="44"/>
        <v>EC11</v>
      </c>
      <c r="I559" t="str">
        <f>_xlfn.XLOOKUP(H559,eci_admgz_adm1!D:D,eci_admgz_adm1!C:C)</f>
        <v>Loja</v>
      </c>
      <c r="J559" t="s">
        <v>2021</v>
      </c>
      <c r="K559" s="1" t="s">
        <v>2023</v>
      </c>
    </row>
    <row r="560" spans="1:11" ht="16" x14ac:dyDescent="0.2">
      <c r="A560" t="s">
        <v>1078</v>
      </c>
      <c r="B560" t="s">
        <v>682</v>
      </c>
      <c r="C560" t="str">
        <f t="shared" si="41"/>
        <v>Selva Alegre</v>
      </c>
      <c r="D560" t="str">
        <f t="shared" si="40"/>
        <v>Selva Alegre</v>
      </c>
      <c r="E560" t="str">
        <f t="shared" si="42"/>
        <v>EC111158</v>
      </c>
      <c r="F560" t="str">
        <f>_xlfn.XLOOKUP(G560,ecu_admgz_adm2!D:D,ecu_admgz_adm2!C:C)</f>
        <v>Saraguro</v>
      </c>
      <c r="G560" t="str">
        <f t="shared" si="43"/>
        <v>EC1111</v>
      </c>
      <c r="H560" t="str">
        <f t="shared" si="44"/>
        <v>EC11</v>
      </c>
      <c r="I560" t="str">
        <f>_xlfn.XLOOKUP(H560,eci_admgz_adm1!D:D,eci_admgz_adm1!C:C)</f>
        <v>Loja</v>
      </c>
      <c r="J560" t="s">
        <v>2021</v>
      </c>
      <c r="K560" s="1" t="s">
        <v>2023</v>
      </c>
    </row>
    <row r="561" spans="1:11" ht="16" x14ac:dyDescent="0.2">
      <c r="A561" t="s">
        <v>1079</v>
      </c>
      <c r="B561" t="s">
        <v>1080</v>
      </c>
      <c r="C561" t="str">
        <f t="shared" si="41"/>
        <v>Urdaneta</v>
      </c>
      <c r="D561" t="str">
        <f t="shared" si="40"/>
        <v>Urdaneta</v>
      </c>
      <c r="E561" t="str">
        <f t="shared" si="42"/>
        <v>EC111159</v>
      </c>
      <c r="F561" t="str">
        <f>_xlfn.XLOOKUP(G561,ecu_admgz_adm2!D:D,ecu_admgz_adm2!C:C)</f>
        <v>Saraguro</v>
      </c>
      <c r="G561" t="str">
        <f t="shared" si="43"/>
        <v>EC1111</v>
      </c>
      <c r="H561" t="str">
        <f t="shared" si="44"/>
        <v>EC11</v>
      </c>
      <c r="I561" t="str">
        <f>_xlfn.XLOOKUP(H561,eci_admgz_adm1!D:D,eci_admgz_adm1!C:C)</f>
        <v>Loja</v>
      </c>
      <c r="J561" t="s">
        <v>2021</v>
      </c>
      <c r="K561" s="1" t="s">
        <v>2023</v>
      </c>
    </row>
    <row r="562" spans="1:11" ht="16" x14ac:dyDescent="0.2">
      <c r="A562" t="s">
        <v>1081</v>
      </c>
      <c r="B562" t="s">
        <v>1082</v>
      </c>
      <c r="C562" t="str">
        <f t="shared" si="41"/>
        <v>Sumaypamba</v>
      </c>
      <c r="D562" t="str">
        <f t="shared" si="40"/>
        <v>Sumaypamba</v>
      </c>
      <c r="E562" t="str">
        <f t="shared" si="42"/>
        <v>EC111160</v>
      </c>
      <c r="F562" t="str">
        <f>_xlfn.XLOOKUP(G562,ecu_admgz_adm2!D:D,ecu_admgz_adm2!C:C)</f>
        <v>Saraguro</v>
      </c>
      <c r="G562" t="str">
        <f t="shared" si="43"/>
        <v>EC1111</v>
      </c>
      <c r="H562" t="str">
        <f t="shared" si="44"/>
        <v>EC11</v>
      </c>
      <c r="I562" t="str">
        <f>_xlfn.XLOOKUP(H562,eci_admgz_adm1!D:D,eci_admgz_adm1!C:C)</f>
        <v>Loja</v>
      </c>
      <c r="J562" t="s">
        <v>2021</v>
      </c>
      <c r="K562" s="1" t="s">
        <v>2023</v>
      </c>
    </row>
    <row r="563" spans="1:11" ht="16" x14ac:dyDescent="0.2">
      <c r="A563" t="s">
        <v>1083</v>
      </c>
      <c r="B563" t="s">
        <v>1084</v>
      </c>
      <c r="C563" t="str">
        <f t="shared" si="41"/>
        <v>Sozoranga</v>
      </c>
      <c r="D563" t="str">
        <f t="shared" si="40"/>
        <v>Sozoranga</v>
      </c>
      <c r="E563" t="str">
        <f t="shared" si="42"/>
        <v>EC111250</v>
      </c>
      <c r="F563" t="str">
        <f>_xlfn.XLOOKUP(G563,ecu_admgz_adm2!D:D,ecu_admgz_adm2!C:C)</f>
        <v>Sozoranga</v>
      </c>
      <c r="G563" t="str">
        <f t="shared" si="43"/>
        <v>EC1112</v>
      </c>
      <c r="H563" t="str">
        <f t="shared" si="44"/>
        <v>EC11</v>
      </c>
      <c r="I563" t="str">
        <f>_xlfn.XLOOKUP(H563,eci_admgz_adm1!D:D,eci_admgz_adm1!C:C)</f>
        <v>Loja</v>
      </c>
      <c r="J563" t="s">
        <v>2021</v>
      </c>
      <c r="K563" s="1" t="s">
        <v>2023</v>
      </c>
    </row>
    <row r="564" spans="1:11" ht="16" x14ac:dyDescent="0.2">
      <c r="A564" t="s">
        <v>1085</v>
      </c>
      <c r="B564" t="s">
        <v>1086</v>
      </c>
      <c r="C564" t="str">
        <f t="shared" si="41"/>
        <v>Nueva Fátima</v>
      </c>
      <c r="D564" t="str">
        <f t="shared" si="40"/>
        <v>Nueva Fátima</v>
      </c>
      <c r="E564" t="str">
        <f t="shared" si="42"/>
        <v>EC111251</v>
      </c>
      <c r="F564" t="str">
        <f>_xlfn.XLOOKUP(G564,ecu_admgz_adm2!D:D,ecu_admgz_adm2!C:C)</f>
        <v>Sozoranga</v>
      </c>
      <c r="G564" t="str">
        <f t="shared" si="43"/>
        <v>EC1112</v>
      </c>
      <c r="H564" t="str">
        <f t="shared" si="44"/>
        <v>EC11</v>
      </c>
      <c r="I564" t="str">
        <f>_xlfn.XLOOKUP(H564,eci_admgz_adm1!D:D,eci_admgz_adm1!C:C)</f>
        <v>Loja</v>
      </c>
      <c r="J564" t="s">
        <v>2021</v>
      </c>
      <c r="K564" s="1" t="s">
        <v>2023</v>
      </c>
    </row>
    <row r="565" spans="1:11" ht="16" x14ac:dyDescent="0.2">
      <c r="A565" t="s">
        <v>1087</v>
      </c>
      <c r="B565" t="s">
        <v>1088</v>
      </c>
      <c r="C565" t="str">
        <f t="shared" si="41"/>
        <v>Tacamoros</v>
      </c>
      <c r="D565" t="str">
        <f t="shared" si="40"/>
        <v>Tacamoros</v>
      </c>
      <c r="E565" t="str">
        <f t="shared" si="42"/>
        <v>EC111252</v>
      </c>
      <c r="F565" t="str">
        <f>_xlfn.XLOOKUP(G565,ecu_admgz_adm2!D:D,ecu_admgz_adm2!C:C)</f>
        <v>Sozoranga</v>
      </c>
      <c r="G565" t="str">
        <f t="shared" si="43"/>
        <v>EC1112</v>
      </c>
      <c r="H565" t="str">
        <f t="shared" si="44"/>
        <v>EC11</v>
      </c>
      <c r="I565" t="str">
        <f>_xlfn.XLOOKUP(H565,eci_admgz_adm1!D:D,eci_admgz_adm1!C:C)</f>
        <v>Loja</v>
      </c>
      <c r="J565" t="s">
        <v>2021</v>
      </c>
      <c r="K565" s="1" t="s">
        <v>2023</v>
      </c>
    </row>
    <row r="566" spans="1:11" ht="16" x14ac:dyDescent="0.2">
      <c r="A566" t="s">
        <v>1089</v>
      </c>
      <c r="B566" t="s">
        <v>1090</v>
      </c>
      <c r="C566" t="str">
        <f t="shared" si="41"/>
        <v>Zapotillo</v>
      </c>
      <c r="D566" t="str">
        <f t="shared" si="40"/>
        <v>Zapotillo</v>
      </c>
      <c r="E566" t="str">
        <f t="shared" si="42"/>
        <v>EC111350</v>
      </c>
      <c r="F566" t="str">
        <f>_xlfn.XLOOKUP(G566,ecu_admgz_adm2!D:D,ecu_admgz_adm2!C:C)</f>
        <v>Zapotillo</v>
      </c>
      <c r="G566" t="str">
        <f t="shared" si="43"/>
        <v>EC1113</v>
      </c>
      <c r="H566" t="str">
        <f t="shared" si="44"/>
        <v>EC11</v>
      </c>
      <c r="I566" t="str">
        <f>_xlfn.XLOOKUP(H566,eci_admgz_adm1!D:D,eci_admgz_adm1!C:C)</f>
        <v>Loja</v>
      </c>
      <c r="J566" t="s">
        <v>2021</v>
      </c>
      <c r="K566" s="1" t="s">
        <v>2023</v>
      </c>
    </row>
    <row r="567" spans="1:11" ht="16" x14ac:dyDescent="0.2">
      <c r="A567" t="s">
        <v>1091</v>
      </c>
      <c r="B567" t="s">
        <v>1092</v>
      </c>
      <c r="C567" t="str">
        <f t="shared" si="41"/>
        <v>Mangahurco</v>
      </c>
      <c r="D567" t="str">
        <f t="shared" si="40"/>
        <v>Mangahurco</v>
      </c>
      <c r="E567" t="str">
        <f t="shared" si="42"/>
        <v>EC111351</v>
      </c>
      <c r="F567" t="str">
        <f>_xlfn.XLOOKUP(G567,ecu_admgz_adm2!D:D,ecu_admgz_adm2!C:C)</f>
        <v>Zapotillo</v>
      </c>
      <c r="G567" t="str">
        <f t="shared" si="43"/>
        <v>EC1113</v>
      </c>
      <c r="H567" t="str">
        <f t="shared" si="44"/>
        <v>EC11</v>
      </c>
      <c r="I567" t="str">
        <f>_xlfn.XLOOKUP(H567,eci_admgz_adm1!D:D,eci_admgz_adm1!C:C)</f>
        <v>Loja</v>
      </c>
      <c r="J567" t="s">
        <v>2021</v>
      </c>
      <c r="K567" s="1" t="s">
        <v>2023</v>
      </c>
    </row>
    <row r="568" spans="1:11" ht="16" x14ac:dyDescent="0.2">
      <c r="A568" t="s">
        <v>1093</v>
      </c>
      <c r="B568" t="s">
        <v>1094</v>
      </c>
      <c r="C568" t="str">
        <f t="shared" si="41"/>
        <v>Garzareal</v>
      </c>
      <c r="D568" t="str">
        <f t="shared" si="40"/>
        <v>Garzareal</v>
      </c>
      <c r="E568" t="str">
        <f t="shared" si="42"/>
        <v>EC111352</v>
      </c>
      <c r="F568" t="str">
        <f>_xlfn.XLOOKUP(G568,ecu_admgz_adm2!D:D,ecu_admgz_adm2!C:C)</f>
        <v>Zapotillo</v>
      </c>
      <c r="G568" t="str">
        <f t="shared" si="43"/>
        <v>EC1113</v>
      </c>
      <c r="H568" t="str">
        <f t="shared" si="44"/>
        <v>EC11</v>
      </c>
      <c r="I568" t="str">
        <f>_xlfn.XLOOKUP(H568,eci_admgz_adm1!D:D,eci_admgz_adm1!C:C)</f>
        <v>Loja</v>
      </c>
      <c r="J568" t="s">
        <v>2021</v>
      </c>
      <c r="K568" s="1" t="s">
        <v>2023</v>
      </c>
    </row>
    <row r="569" spans="1:11" ht="16" x14ac:dyDescent="0.2">
      <c r="A569" t="s">
        <v>1095</v>
      </c>
      <c r="B569" t="s">
        <v>1096</v>
      </c>
      <c r="C569" t="str">
        <f t="shared" si="41"/>
        <v>Limones</v>
      </c>
      <c r="D569" t="str">
        <f t="shared" si="40"/>
        <v>Limones</v>
      </c>
      <c r="E569" t="str">
        <f t="shared" si="42"/>
        <v>EC111353</v>
      </c>
      <c r="F569" t="str">
        <f>_xlfn.XLOOKUP(G569,ecu_admgz_adm2!D:D,ecu_admgz_adm2!C:C)</f>
        <v>Zapotillo</v>
      </c>
      <c r="G569" t="str">
        <f t="shared" si="43"/>
        <v>EC1113</v>
      </c>
      <c r="H569" t="str">
        <f t="shared" si="44"/>
        <v>EC11</v>
      </c>
      <c r="I569" t="str">
        <f>_xlfn.XLOOKUP(H569,eci_admgz_adm1!D:D,eci_admgz_adm1!C:C)</f>
        <v>Loja</v>
      </c>
      <c r="J569" t="s">
        <v>2021</v>
      </c>
      <c r="K569" s="1" t="s">
        <v>2023</v>
      </c>
    </row>
    <row r="570" spans="1:11" ht="16" x14ac:dyDescent="0.2">
      <c r="A570" t="s">
        <v>1097</v>
      </c>
      <c r="B570" t="s">
        <v>1098</v>
      </c>
      <c r="C570" t="str">
        <f t="shared" si="41"/>
        <v>Paletillas</v>
      </c>
      <c r="D570" t="str">
        <f t="shared" si="40"/>
        <v>Paletillas</v>
      </c>
      <c r="E570" t="str">
        <f t="shared" si="42"/>
        <v>EC111354</v>
      </c>
      <c r="F570" t="str">
        <f>_xlfn.XLOOKUP(G570,ecu_admgz_adm2!D:D,ecu_admgz_adm2!C:C)</f>
        <v>Zapotillo</v>
      </c>
      <c r="G570" t="str">
        <f t="shared" si="43"/>
        <v>EC1113</v>
      </c>
      <c r="H570" t="str">
        <f t="shared" si="44"/>
        <v>EC11</v>
      </c>
      <c r="I570" t="str">
        <f>_xlfn.XLOOKUP(H570,eci_admgz_adm1!D:D,eci_admgz_adm1!C:C)</f>
        <v>Loja</v>
      </c>
      <c r="J570" t="s">
        <v>2021</v>
      </c>
      <c r="K570" s="1" t="s">
        <v>2023</v>
      </c>
    </row>
    <row r="571" spans="1:11" ht="16" x14ac:dyDescent="0.2">
      <c r="A571" t="s">
        <v>1099</v>
      </c>
      <c r="B571" t="s">
        <v>1100</v>
      </c>
      <c r="C571" t="str">
        <f t="shared" si="41"/>
        <v>Bolaspamba</v>
      </c>
      <c r="D571" t="str">
        <f t="shared" si="40"/>
        <v>Bolaspamba</v>
      </c>
      <c r="E571" t="str">
        <f t="shared" si="42"/>
        <v>EC111355</v>
      </c>
      <c r="F571" t="str">
        <f>_xlfn.XLOOKUP(G571,ecu_admgz_adm2!D:D,ecu_admgz_adm2!C:C)</f>
        <v>Zapotillo</v>
      </c>
      <c r="G571" t="str">
        <f t="shared" si="43"/>
        <v>EC1113</v>
      </c>
      <c r="H571" t="str">
        <f t="shared" si="44"/>
        <v>EC11</v>
      </c>
      <c r="I571" t="str">
        <f>_xlfn.XLOOKUP(H571,eci_admgz_adm1!D:D,eci_admgz_adm1!C:C)</f>
        <v>Loja</v>
      </c>
      <c r="J571" t="s">
        <v>2021</v>
      </c>
      <c r="K571" s="1" t="s">
        <v>2023</v>
      </c>
    </row>
    <row r="572" spans="1:11" ht="16" x14ac:dyDescent="0.2">
      <c r="A572" t="s">
        <v>1101</v>
      </c>
      <c r="B572" t="s">
        <v>1102</v>
      </c>
      <c r="C572" t="str">
        <f t="shared" si="41"/>
        <v>Cazaderos</v>
      </c>
      <c r="D572" t="str">
        <f t="shared" si="40"/>
        <v>Cazaderos</v>
      </c>
      <c r="E572" t="str">
        <f t="shared" si="42"/>
        <v>EC111356</v>
      </c>
      <c r="F572" t="str">
        <f>_xlfn.XLOOKUP(G572,ecu_admgz_adm2!D:D,ecu_admgz_adm2!C:C)</f>
        <v>Zapotillo</v>
      </c>
      <c r="G572" t="str">
        <f t="shared" si="43"/>
        <v>EC1113</v>
      </c>
      <c r="H572" t="str">
        <f t="shared" si="44"/>
        <v>EC11</v>
      </c>
      <c r="I572" t="str">
        <f>_xlfn.XLOOKUP(H572,eci_admgz_adm1!D:D,eci_admgz_adm1!C:C)</f>
        <v>Loja</v>
      </c>
      <c r="J572" t="s">
        <v>2021</v>
      </c>
      <c r="K572" s="1" t="s">
        <v>2023</v>
      </c>
    </row>
    <row r="573" spans="1:11" ht="16" x14ac:dyDescent="0.2">
      <c r="A573" t="s">
        <v>1103</v>
      </c>
      <c r="B573" t="s">
        <v>1104</v>
      </c>
      <c r="C573" t="str">
        <f t="shared" si="41"/>
        <v>Pindal</v>
      </c>
      <c r="D573" t="str">
        <f t="shared" si="40"/>
        <v>Pindal</v>
      </c>
      <c r="E573" t="str">
        <f t="shared" si="42"/>
        <v>EC111450</v>
      </c>
      <c r="F573" t="str">
        <f>_xlfn.XLOOKUP(G573,ecu_admgz_adm2!D:D,ecu_admgz_adm2!C:C)</f>
        <v>Pindal</v>
      </c>
      <c r="G573" t="str">
        <f t="shared" si="43"/>
        <v>EC1114</v>
      </c>
      <c r="H573" t="str">
        <f t="shared" si="44"/>
        <v>EC11</v>
      </c>
      <c r="I573" t="str">
        <f>_xlfn.XLOOKUP(H573,eci_admgz_adm1!D:D,eci_admgz_adm1!C:C)</f>
        <v>Loja</v>
      </c>
      <c r="J573" t="s">
        <v>2021</v>
      </c>
      <c r="K573" s="1" t="s">
        <v>2023</v>
      </c>
    </row>
    <row r="574" spans="1:11" ht="16" x14ac:dyDescent="0.2">
      <c r="A574" t="s">
        <v>1105</v>
      </c>
      <c r="B574" t="s">
        <v>1106</v>
      </c>
      <c r="C574" t="str">
        <f t="shared" si="41"/>
        <v>Chaquinal</v>
      </c>
      <c r="D574" t="str">
        <f t="shared" si="40"/>
        <v>Chaquinal</v>
      </c>
      <c r="E574" t="str">
        <f t="shared" si="42"/>
        <v>EC111451</v>
      </c>
      <c r="F574" t="str">
        <f>_xlfn.XLOOKUP(G574,ecu_admgz_adm2!D:D,ecu_admgz_adm2!C:C)</f>
        <v>Pindal</v>
      </c>
      <c r="G574" t="str">
        <f t="shared" si="43"/>
        <v>EC1114</v>
      </c>
      <c r="H574" t="str">
        <f t="shared" si="44"/>
        <v>EC11</v>
      </c>
      <c r="I574" t="str">
        <f>_xlfn.XLOOKUP(H574,eci_admgz_adm1!D:D,eci_admgz_adm1!C:C)</f>
        <v>Loja</v>
      </c>
      <c r="J574" t="s">
        <v>2021</v>
      </c>
      <c r="K574" s="1" t="s">
        <v>2023</v>
      </c>
    </row>
    <row r="575" spans="1:11" ht="16" x14ac:dyDescent="0.2">
      <c r="A575" t="s">
        <v>1107</v>
      </c>
      <c r="B575" t="s">
        <v>1108</v>
      </c>
      <c r="C575" t="str">
        <f t="shared" si="41"/>
        <v>12 De Diciembre</v>
      </c>
      <c r="D575" t="str">
        <f t="shared" si="40"/>
        <v>12 de Diciembre</v>
      </c>
      <c r="E575" t="str">
        <f t="shared" si="42"/>
        <v>EC111452</v>
      </c>
      <c r="F575" t="str">
        <f>_xlfn.XLOOKUP(G575,ecu_admgz_adm2!D:D,ecu_admgz_adm2!C:C)</f>
        <v>Pindal</v>
      </c>
      <c r="G575" t="str">
        <f t="shared" si="43"/>
        <v>EC1114</v>
      </c>
      <c r="H575" t="str">
        <f t="shared" si="44"/>
        <v>EC11</v>
      </c>
      <c r="I575" t="str">
        <f>_xlfn.XLOOKUP(H575,eci_admgz_adm1!D:D,eci_admgz_adm1!C:C)</f>
        <v>Loja</v>
      </c>
      <c r="J575" t="s">
        <v>2021</v>
      </c>
      <c r="K575" s="1" t="s">
        <v>2023</v>
      </c>
    </row>
    <row r="576" spans="1:11" ht="16" x14ac:dyDescent="0.2">
      <c r="A576" t="s">
        <v>1109</v>
      </c>
      <c r="B576" t="s">
        <v>1110</v>
      </c>
      <c r="C576" t="str">
        <f t="shared" si="41"/>
        <v>Milagros</v>
      </c>
      <c r="D576" t="str">
        <f t="shared" si="40"/>
        <v>Milagros</v>
      </c>
      <c r="E576" t="str">
        <f t="shared" si="42"/>
        <v>EC111453</v>
      </c>
      <c r="F576" t="str">
        <f>_xlfn.XLOOKUP(G576,ecu_admgz_adm2!D:D,ecu_admgz_adm2!C:C)</f>
        <v>Pindal</v>
      </c>
      <c r="G576" t="str">
        <f t="shared" si="43"/>
        <v>EC1114</v>
      </c>
      <c r="H576" t="str">
        <f t="shared" si="44"/>
        <v>EC11</v>
      </c>
      <c r="I576" t="str">
        <f>_xlfn.XLOOKUP(H576,eci_admgz_adm1!D:D,eci_admgz_adm1!C:C)</f>
        <v>Loja</v>
      </c>
      <c r="J576" t="s">
        <v>2021</v>
      </c>
      <c r="K576" s="1" t="s">
        <v>2023</v>
      </c>
    </row>
    <row r="577" spans="1:11" ht="16" x14ac:dyDescent="0.2">
      <c r="A577" t="s">
        <v>1111</v>
      </c>
      <c r="B577" t="s">
        <v>1112</v>
      </c>
      <c r="C577" t="str">
        <f t="shared" si="41"/>
        <v>Quilanga</v>
      </c>
      <c r="D577" t="str">
        <f t="shared" si="40"/>
        <v>Quilanga</v>
      </c>
      <c r="E577" t="str">
        <f t="shared" si="42"/>
        <v>EC111550</v>
      </c>
      <c r="F577" t="str">
        <f>_xlfn.XLOOKUP(G577,ecu_admgz_adm2!D:D,ecu_admgz_adm2!C:C)</f>
        <v>Quilanga</v>
      </c>
      <c r="G577" t="str">
        <f t="shared" si="43"/>
        <v>EC1115</v>
      </c>
      <c r="H577" t="str">
        <f t="shared" si="44"/>
        <v>EC11</v>
      </c>
      <c r="I577" t="str">
        <f>_xlfn.XLOOKUP(H577,eci_admgz_adm1!D:D,eci_admgz_adm1!C:C)</f>
        <v>Loja</v>
      </c>
      <c r="J577" t="s">
        <v>2021</v>
      </c>
      <c r="K577" s="1" t="s">
        <v>2023</v>
      </c>
    </row>
    <row r="578" spans="1:11" ht="16" x14ac:dyDescent="0.2">
      <c r="A578" t="s">
        <v>1113</v>
      </c>
      <c r="B578" t="s">
        <v>1114</v>
      </c>
      <c r="C578" t="str">
        <f t="shared" si="41"/>
        <v>Fundochamba</v>
      </c>
      <c r="D578" t="str">
        <f t="shared" ref="D578:D641" si="45">SUBSTITUTE(SUBSTITUTE(SUBSTITUTE(SUBSTITUTE(SUBSTITUTE(SUBSTITUTE(PROPER($C578)," De "," de ")," La "," la ")," Del "," del ")," Los "," los ")," Y "," y "),"En","en")</f>
        <v>Fundochamba</v>
      </c>
      <c r="E578" t="str">
        <f t="shared" si="42"/>
        <v>EC111551</v>
      </c>
      <c r="F578" t="str">
        <f>_xlfn.XLOOKUP(G578,ecu_admgz_adm2!D:D,ecu_admgz_adm2!C:C)</f>
        <v>Quilanga</v>
      </c>
      <c r="G578" t="str">
        <f t="shared" si="43"/>
        <v>EC1115</v>
      </c>
      <c r="H578" t="str">
        <f t="shared" si="44"/>
        <v>EC11</v>
      </c>
      <c r="I578" t="str">
        <f>_xlfn.XLOOKUP(H578,eci_admgz_adm1!D:D,eci_admgz_adm1!C:C)</f>
        <v>Loja</v>
      </c>
      <c r="J578" t="s">
        <v>2021</v>
      </c>
      <c r="K578" s="1" t="s">
        <v>2023</v>
      </c>
    </row>
    <row r="579" spans="1:11" ht="16" x14ac:dyDescent="0.2">
      <c r="A579" t="s">
        <v>1115</v>
      </c>
      <c r="B579" t="s">
        <v>1116</v>
      </c>
      <c r="C579" t="str">
        <f t="shared" ref="C579:C642" si="46">PROPER(B579)</f>
        <v>San Antonio De Las Aradas</v>
      </c>
      <c r="D579" t="str">
        <f t="shared" si="45"/>
        <v>San Antonio de Las Aradas</v>
      </c>
      <c r="E579" t="str">
        <f t="shared" ref="E579:E642" si="47">"EC"&amp;A579</f>
        <v>EC111552</v>
      </c>
      <c r="F579" t="str">
        <f>_xlfn.XLOOKUP(G579,ecu_admgz_adm2!D:D,ecu_admgz_adm2!C:C)</f>
        <v>Quilanga</v>
      </c>
      <c r="G579" t="str">
        <f t="shared" ref="G579:G642" si="48">LEFT(E579,6)</f>
        <v>EC1115</v>
      </c>
      <c r="H579" t="str">
        <f t="shared" ref="H579:H642" si="49">LEFT(G579,4)</f>
        <v>EC11</v>
      </c>
      <c r="I579" t="str">
        <f>_xlfn.XLOOKUP(H579,eci_admgz_adm1!D:D,eci_admgz_adm1!C:C)</f>
        <v>Loja</v>
      </c>
      <c r="J579" t="s">
        <v>2021</v>
      </c>
      <c r="K579" s="1" t="s">
        <v>2023</v>
      </c>
    </row>
    <row r="580" spans="1:11" ht="16" x14ac:dyDescent="0.2">
      <c r="A580" t="s">
        <v>1117</v>
      </c>
      <c r="B580" t="s">
        <v>1118</v>
      </c>
      <c r="C580" t="str">
        <f t="shared" si="46"/>
        <v>Olmedo</v>
      </c>
      <c r="D580" t="str">
        <f t="shared" si="45"/>
        <v>Olmedo</v>
      </c>
      <c r="E580" t="str">
        <f t="shared" si="47"/>
        <v>EC111650</v>
      </c>
      <c r="F580" t="str">
        <f>_xlfn.XLOOKUP(G580,ecu_admgz_adm2!D:D,ecu_admgz_adm2!C:C)</f>
        <v>Olmedo</v>
      </c>
      <c r="G580" t="str">
        <f t="shared" si="48"/>
        <v>EC1116</v>
      </c>
      <c r="H580" t="str">
        <f t="shared" si="49"/>
        <v>EC11</v>
      </c>
      <c r="I580" t="str">
        <f>_xlfn.XLOOKUP(H580,eci_admgz_adm1!D:D,eci_admgz_adm1!C:C)</f>
        <v>Loja</v>
      </c>
      <c r="J580" t="s">
        <v>2021</v>
      </c>
      <c r="K580" s="1" t="s">
        <v>2023</v>
      </c>
    </row>
    <row r="581" spans="1:11" ht="16" x14ac:dyDescent="0.2">
      <c r="A581" t="s">
        <v>1119</v>
      </c>
      <c r="B581" t="s">
        <v>1120</v>
      </c>
      <c r="C581" t="str">
        <f t="shared" si="46"/>
        <v>La Tingue</v>
      </c>
      <c r="D581" t="str">
        <f t="shared" si="45"/>
        <v>La Tingue</v>
      </c>
      <c r="E581" t="str">
        <f t="shared" si="47"/>
        <v>EC111651</v>
      </c>
      <c r="F581" t="str">
        <f>_xlfn.XLOOKUP(G581,ecu_admgz_adm2!D:D,ecu_admgz_adm2!C:C)</f>
        <v>Olmedo</v>
      </c>
      <c r="G581" t="str">
        <f t="shared" si="48"/>
        <v>EC1116</v>
      </c>
      <c r="H581" t="str">
        <f t="shared" si="49"/>
        <v>EC11</v>
      </c>
      <c r="I581" t="str">
        <f>_xlfn.XLOOKUP(H581,eci_admgz_adm1!D:D,eci_admgz_adm1!C:C)</f>
        <v>Loja</v>
      </c>
      <c r="J581" t="s">
        <v>2021</v>
      </c>
      <c r="K581" s="1" t="s">
        <v>2023</v>
      </c>
    </row>
    <row r="582" spans="1:11" ht="16" x14ac:dyDescent="0.2">
      <c r="A582" t="s">
        <v>1121</v>
      </c>
      <c r="B582" t="s">
        <v>1122</v>
      </c>
      <c r="C582" t="str">
        <f t="shared" si="46"/>
        <v>Babahoyo</v>
      </c>
      <c r="D582" t="str">
        <f t="shared" si="45"/>
        <v>Babahoyo</v>
      </c>
      <c r="E582" t="str">
        <f t="shared" si="47"/>
        <v>EC120150</v>
      </c>
      <c r="F582" t="str">
        <f>_xlfn.XLOOKUP(G582,ecu_admgz_adm2!D:D,ecu_admgz_adm2!C:C)</f>
        <v>Babahoyo</v>
      </c>
      <c r="G582" t="str">
        <f t="shared" si="48"/>
        <v>EC1201</v>
      </c>
      <c r="H582" t="str">
        <f t="shared" si="49"/>
        <v>EC12</v>
      </c>
      <c r="I582" t="str">
        <f>_xlfn.XLOOKUP(H582,eci_admgz_adm1!D:D,eci_admgz_adm1!C:C)</f>
        <v>Los Ríos</v>
      </c>
      <c r="J582" t="s">
        <v>2021</v>
      </c>
      <c r="K582" s="1" t="s">
        <v>2023</v>
      </c>
    </row>
    <row r="583" spans="1:11" ht="16" x14ac:dyDescent="0.2">
      <c r="A583" t="s">
        <v>1123</v>
      </c>
      <c r="B583" t="s">
        <v>1124</v>
      </c>
      <c r="C583" t="str">
        <f t="shared" si="46"/>
        <v>Caracol</v>
      </c>
      <c r="D583" t="str">
        <f t="shared" si="45"/>
        <v>Caracol</v>
      </c>
      <c r="E583" t="str">
        <f t="shared" si="47"/>
        <v>EC120152</v>
      </c>
      <c r="F583" t="str">
        <f>_xlfn.XLOOKUP(G583,ecu_admgz_adm2!D:D,ecu_admgz_adm2!C:C)</f>
        <v>Babahoyo</v>
      </c>
      <c r="G583" t="str">
        <f t="shared" si="48"/>
        <v>EC1201</v>
      </c>
      <c r="H583" t="str">
        <f t="shared" si="49"/>
        <v>EC12</v>
      </c>
      <c r="I583" t="str">
        <f>_xlfn.XLOOKUP(H583,eci_admgz_adm1!D:D,eci_admgz_adm1!C:C)</f>
        <v>Los Ríos</v>
      </c>
      <c r="J583" t="s">
        <v>2021</v>
      </c>
      <c r="K583" s="1" t="s">
        <v>2023</v>
      </c>
    </row>
    <row r="584" spans="1:11" ht="16" x14ac:dyDescent="0.2">
      <c r="A584" t="s">
        <v>1125</v>
      </c>
      <c r="B584" t="s">
        <v>1126</v>
      </c>
      <c r="C584" t="str">
        <f t="shared" si="46"/>
        <v>Febres Cordero</v>
      </c>
      <c r="D584" t="str">
        <f t="shared" si="45"/>
        <v>Febres Cordero</v>
      </c>
      <c r="E584" t="str">
        <f t="shared" si="47"/>
        <v>EC120153</v>
      </c>
      <c r="F584" t="str">
        <f>_xlfn.XLOOKUP(G584,ecu_admgz_adm2!D:D,ecu_admgz_adm2!C:C)</f>
        <v>Babahoyo</v>
      </c>
      <c r="G584" t="str">
        <f t="shared" si="48"/>
        <v>EC1201</v>
      </c>
      <c r="H584" t="str">
        <f t="shared" si="49"/>
        <v>EC12</v>
      </c>
      <c r="I584" t="str">
        <f>_xlfn.XLOOKUP(H584,eci_admgz_adm1!D:D,eci_admgz_adm1!C:C)</f>
        <v>Los Ríos</v>
      </c>
      <c r="J584" t="s">
        <v>2021</v>
      </c>
      <c r="K584" s="1" t="s">
        <v>2023</v>
      </c>
    </row>
    <row r="585" spans="1:11" ht="16" x14ac:dyDescent="0.2">
      <c r="A585" t="s">
        <v>1127</v>
      </c>
      <c r="B585" t="s">
        <v>1128</v>
      </c>
      <c r="C585" t="str">
        <f t="shared" si="46"/>
        <v>Pimocha</v>
      </c>
      <c r="D585" t="str">
        <f t="shared" si="45"/>
        <v>Pimocha</v>
      </c>
      <c r="E585" t="str">
        <f t="shared" si="47"/>
        <v>EC120154</v>
      </c>
      <c r="F585" t="str">
        <f>_xlfn.XLOOKUP(G585,ecu_admgz_adm2!D:D,ecu_admgz_adm2!C:C)</f>
        <v>Babahoyo</v>
      </c>
      <c r="G585" t="str">
        <f t="shared" si="48"/>
        <v>EC1201</v>
      </c>
      <c r="H585" t="str">
        <f t="shared" si="49"/>
        <v>EC12</v>
      </c>
      <c r="I585" t="str">
        <f>_xlfn.XLOOKUP(H585,eci_admgz_adm1!D:D,eci_admgz_adm1!C:C)</f>
        <v>Los Ríos</v>
      </c>
      <c r="J585" t="s">
        <v>2021</v>
      </c>
      <c r="K585" s="1" t="s">
        <v>2023</v>
      </c>
    </row>
    <row r="586" spans="1:11" ht="16" x14ac:dyDescent="0.2">
      <c r="A586" t="s">
        <v>1129</v>
      </c>
      <c r="B586" t="s">
        <v>135</v>
      </c>
      <c r="C586" t="str">
        <f t="shared" si="46"/>
        <v>La Unión</v>
      </c>
      <c r="D586" t="str">
        <f t="shared" si="45"/>
        <v>La Unión</v>
      </c>
      <c r="E586" t="str">
        <f t="shared" si="47"/>
        <v>EC120155</v>
      </c>
      <c r="F586" t="str">
        <f>_xlfn.XLOOKUP(G586,ecu_admgz_adm2!D:D,ecu_admgz_adm2!C:C)</f>
        <v>Babahoyo</v>
      </c>
      <c r="G586" t="str">
        <f t="shared" si="48"/>
        <v>EC1201</v>
      </c>
      <c r="H586" t="str">
        <f t="shared" si="49"/>
        <v>EC12</v>
      </c>
      <c r="I586" t="str">
        <f>_xlfn.XLOOKUP(H586,eci_admgz_adm1!D:D,eci_admgz_adm1!C:C)</f>
        <v>Los Ríos</v>
      </c>
      <c r="J586" t="s">
        <v>2021</v>
      </c>
      <c r="K586" s="1" t="s">
        <v>2023</v>
      </c>
    </row>
    <row r="587" spans="1:11" ht="16" x14ac:dyDescent="0.2">
      <c r="A587" t="s">
        <v>1130</v>
      </c>
      <c r="B587" t="s">
        <v>1131</v>
      </c>
      <c r="C587" t="str">
        <f t="shared" si="46"/>
        <v>Baba</v>
      </c>
      <c r="D587" t="str">
        <f t="shared" si="45"/>
        <v>Baba</v>
      </c>
      <c r="E587" t="str">
        <f t="shared" si="47"/>
        <v>EC120250</v>
      </c>
      <c r="F587" t="str">
        <f>_xlfn.XLOOKUP(G587,ecu_admgz_adm2!D:D,ecu_admgz_adm2!C:C)</f>
        <v>Baba</v>
      </c>
      <c r="G587" t="str">
        <f t="shared" si="48"/>
        <v>EC1202</v>
      </c>
      <c r="H587" t="str">
        <f t="shared" si="49"/>
        <v>EC12</v>
      </c>
      <c r="I587" t="str">
        <f>_xlfn.XLOOKUP(H587,eci_admgz_adm1!D:D,eci_admgz_adm1!C:C)</f>
        <v>Los Ríos</v>
      </c>
      <c r="J587" t="s">
        <v>2021</v>
      </c>
      <c r="K587" s="1" t="s">
        <v>2023</v>
      </c>
    </row>
    <row r="588" spans="1:11" ht="16" x14ac:dyDescent="0.2">
      <c r="A588" t="s">
        <v>1132</v>
      </c>
      <c r="B588" t="s">
        <v>1133</v>
      </c>
      <c r="C588" t="str">
        <f t="shared" si="46"/>
        <v>Guare</v>
      </c>
      <c r="D588" t="str">
        <f t="shared" si="45"/>
        <v>Guare</v>
      </c>
      <c r="E588" t="str">
        <f t="shared" si="47"/>
        <v>EC120251</v>
      </c>
      <c r="F588" t="str">
        <f>_xlfn.XLOOKUP(G588,ecu_admgz_adm2!D:D,ecu_admgz_adm2!C:C)</f>
        <v>Baba</v>
      </c>
      <c r="G588" t="str">
        <f t="shared" si="48"/>
        <v>EC1202</v>
      </c>
      <c r="H588" t="str">
        <f t="shared" si="49"/>
        <v>EC12</v>
      </c>
      <c r="I588" t="str">
        <f>_xlfn.XLOOKUP(H588,eci_admgz_adm1!D:D,eci_admgz_adm1!C:C)</f>
        <v>Los Ríos</v>
      </c>
      <c r="J588" t="s">
        <v>2021</v>
      </c>
      <c r="K588" s="1" t="s">
        <v>2023</v>
      </c>
    </row>
    <row r="589" spans="1:11" ht="16" x14ac:dyDescent="0.2">
      <c r="A589" t="s">
        <v>1134</v>
      </c>
      <c r="B589" t="s">
        <v>1135</v>
      </c>
      <c r="C589" t="str">
        <f t="shared" si="46"/>
        <v>Isla De Bejucal</v>
      </c>
      <c r="D589" t="str">
        <f t="shared" si="45"/>
        <v>Isla de Bejucal</v>
      </c>
      <c r="E589" t="str">
        <f t="shared" si="47"/>
        <v>EC120252</v>
      </c>
      <c r="F589" t="str">
        <f>_xlfn.XLOOKUP(G589,ecu_admgz_adm2!D:D,ecu_admgz_adm2!C:C)</f>
        <v>Baba</v>
      </c>
      <c r="G589" t="str">
        <f t="shared" si="48"/>
        <v>EC1202</v>
      </c>
      <c r="H589" t="str">
        <f t="shared" si="49"/>
        <v>EC12</v>
      </c>
      <c r="I589" t="str">
        <f>_xlfn.XLOOKUP(H589,eci_admgz_adm1!D:D,eci_admgz_adm1!C:C)</f>
        <v>Los Ríos</v>
      </c>
      <c r="J589" t="s">
        <v>2021</v>
      </c>
      <c r="K589" s="1" t="s">
        <v>2023</v>
      </c>
    </row>
    <row r="590" spans="1:11" ht="16" x14ac:dyDescent="0.2">
      <c r="A590" t="s">
        <v>1136</v>
      </c>
      <c r="B590" t="s">
        <v>762</v>
      </c>
      <c r="C590" t="str">
        <f t="shared" si="46"/>
        <v>Montalvo</v>
      </c>
      <c r="D590" t="str">
        <f t="shared" si="45"/>
        <v>Montalvo</v>
      </c>
      <c r="E590" t="str">
        <f t="shared" si="47"/>
        <v>EC120350</v>
      </c>
      <c r="F590" t="str">
        <f>_xlfn.XLOOKUP(G590,ecu_admgz_adm2!D:D,ecu_admgz_adm2!C:C)</f>
        <v>Montalvo</v>
      </c>
      <c r="G590" t="str">
        <f t="shared" si="48"/>
        <v>EC1203</v>
      </c>
      <c r="H590" t="str">
        <f t="shared" si="49"/>
        <v>EC12</v>
      </c>
      <c r="I590" t="str">
        <f>_xlfn.XLOOKUP(H590,eci_admgz_adm1!D:D,eci_admgz_adm1!C:C)</f>
        <v>Los Ríos</v>
      </c>
      <c r="J590" t="s">
        <v>2021</v>
      </c>
      <c r="K590" s="1" t="s">
        <v>2023</v>
      </c>
    </row>
    <row r="591" spans="1:11" ht="16" x14ac:dyDescent="0.2">
      <c r="A591" t="s">
        <v>1137</v>
      </c>
      <c r="B591" t="s">
        <v>1138</v>
      </c>
      <c r="C591" t="str">
        <f t="shared" si="46"/>
        <v>La Esmeralda</v>
      </c>
      <c r="D591" t="str">
        <f t="shared" si="45"/>
        <v>La Esmeralda</v>
      </c>
      <c r="E591" t="str">
        <f t="shared" si="47"/>
        <v>EC120351</v>
      </c>
      <c r="F591" t="str">
        <f>_xlfn.XLOOKUP(G591,ecu_admgz_adm2!D:D,ecu_admgz_adm2!C:C)</f>
        <v>Montalvo</v>
      </c>
      <c r="G591" t="str">
        <f t="shared" si="48"/>
        <v>EC1203</v>
      </c>
      <c r="H591" t="str">
        <f t="shared" si="49"/>
        <v>EC12</v>
      </c>
      <c r="I591" t="str">
        <f>_xlfn.XLOOKUP(H591,eci_admgz_adm1!D:D,eci_admgz_adm1!C:C)</f>
        <v>Los Ríos</v>
      </c>
      <c r="J591" t="s">
        <v>2021</v>
      </c>
      <c r="K591" s="1" t="s">
        <v>2023</v>
      </c>
    </row>
    <row r="592" spans="1:11" ht="16" x14ac:dyDescent="0.2">
      <c r="A592" t="s">
        <v>1139</v>
      </c>
      <c r="B592" t="s">
        <v>1140</v>
      </c>
      <c r="C592" t="str">
        <f t="shared" si="46"/>
        <v>Puebloviejo</v>
      </c>
      <c r="D592" t="str">
        <f t="shared" si="45"/>
        <v>Puebloviejo</v>
      </c>
      <c r="E592" t="str">
        <f t="shared" si="47"/>
        <v>EC120450</v>
      </c>
      <c r="F592" t="str">
        <f>_xlfn.XLOOKUP(G592,ecu_admgz_adm2!D:D,ecu_admgz_adm2!C:C)</f>
        <v>Puebloviejo</v>
      </c>
      <c r="G592" t="str">
        <f t="shared" si="48"/>
        <v>EC1204</v>
      </c>
      <c r="H592" t="str">
        <f t="shared" si="49"/>
        <v>EC12</v>
      </c>
      <c r="I592" t="str">
        <f>_xlfn.XLOOKUP(H592,eci_admgz_adm1!D:D,eci_admgz_adm1!C:C)</f>
        <v>Los Ríos</v>
      </c>
      <c r="J592" t="s">
        <v>2021</v>
      </c>
      <c r="K592" s="1" t="s">
        <v>2023</v>
      </c>
    </row>
    <row r="593" spans="1:11" ht="16" x14ac:dyDescent="0.2">
      <c r="A593" t="s">
        <v>1141</v>
      </c>
      <c r="B593" t="s">
        <v>1142</v>
      </c>
      <c r="C593" t="str">
        <f t="shared" si="46"/>
        <v>Puerto Pechiche</v>
      </c>
      <c r="D593" t="str">
        <f t="shared" si="45"/>
        <v>Puerto Pechiche</v>
      </c>
      <c r="E593" t="str">
        <f t="shared" si="47"/>
        <v>EC120451</v>
      </c>
      <c r="F593" t="str">
        <f>_xlfn.XLOOKUP(G593,ecu_admgz_adm2!D:D,ecu_admgz_adm2!C:C)</f>
        <v>Puebloviejo</v>
      </c>
      <c r="G593" t="str">
        <f t="shared" si="48"/>
        <v>EC1204</v>
      </c>
      <c r="H593" t="str">
        <f t="shared" si="49"/>
        <v>EC12</v>
      </c>
      <c r="I593" t="str">
        <f>_xlfn.XLOOKUP(H593,eci_admgz_adm1!D:D,eci_admgz_adm1!C:C)</f>
        <v>Los Ríos</v>
      </c>
      <c r="J593" t="s">
        <v>2021</v>
      </c>
      <c r="K593" s="1" t="s">
        <v>2023</v>
      </c>
    </row>
    <row r="594" spans="1:11" ht="16" x14ac:dyDescent="0.2">
      <c r="A594" t="s">
        <v>1143</v>
      </c>
      <c r="B594" t="s">
        <v>63</v>
      </c>
      <c r="C594" t="str">
        <f t="shared" si="46"/>
        <v>San Juan</v>
      </c>
      <c r="D594" t="str">
        <f t="shared" si="45"/>
        <v>San Juan</v>
      </c>
      <c r="E594" t="str">
        <f t="shared" si="47"/>
        <v>EC120452</v>
      </c>
      <c r="F594" t="str">
        <f>_xlfn.XLOOKUP(G594,ecu_admgz_adm2!D:D,ecu_admgz_adm2!C:C)</f>
        <v>Puebloviejo</v>
      </c>
      <c r="G594" t="str">
        <f t="shared" si="48"/>
        <v>EC1204</v>
      </c>
      <c r="H594" t="str">
        <f t="shared" si="49"/>
        <v>EC12</v>
      </c>
      <c r="I594" t="str">
        <f>_xlfn.XLOOKUP(H594,eci_admgz_adm1!D:D,eci_admgz_adm1!C:C)</f>
        <v>Los Ríos</v>
      </c>
      <c r="J594" t="s">
        <v>2021</v>
      </c>
      <c r="K594" s="1" t="s">
        <v>2023</v>
      </c>
    </row>
    <row r="595" spans="1:11" ht="16" x14ac:dyDescent="0.2">
      <c r="A595" t="s">
        <v>1144</v>
      </c>
      <c r="B595" t="s">
        <v>1145</v>
      </c>
      <c r="C595" t="str">
        <f t="shared" si="46"/>
        <v>Quevedo</v>
      </c>
      <c r="D595" t="str">
        <f t="shared" si="45"/>
        <v>Quevedo</v>
      </c>
      <c r="E595" t="str">
        <f t="shared" si="47"/>
        <v>EC120550</v>
      </c>
      <c r="F595" t="str">
        <f>_xlfn.XLOOKUP(G595,ecu_admgz_adm2!D:D,ecu_admgz_adm2!C:C)</f>
        <v>Quevedo</v>
      </c>
      <c r="G595" t="str">
        <f t="shared" si="48"/>
        <v>EC1205</v>
      </c>
      <c r="H595" t="str">
        <f t="shared" si="49"/>
        <v>EC12</v>
      </c>
      <c r="I595" t="str">
        <f>_xlfn.XLOOKUP(H595,eci_admgz_adm1!D:D,eci_admgz_adm1!C:C)</f>
        <v>Los Ríos</v>
      </c>
      <c r="J595" t="s">
        <v>2021</v>
      </c>
      <c r="K595" s="1" t="s">
        <v>2023</v>
      </c>
    </row>
    <row r="596" spans="1:11" ht="16" x14ac:dyDescent="0.2">
      <c r="A596" t="s">
        <v>1146</v>
      </c>
      <c r="B596" t="s">
        <v>816</v>
      </c>
      <c r="C596" t="str">
        <f t="shared" si="46"/>
        <v>San Carlos</v>
      </c>
      <c r="D596" t="str">
        <f t="shared" si="45"/>
        <v>San Carlos</v>
      </c>
      <c r="E596" t="str">
        <f t="shared" si="47"/>
        <v>EC120553</v>
      </c>
      <c r="F596" t="str">
        <f>_xlfn.XLOOKUP(G596,ecu_admgz_adm2!D:D,ecu_admgz_adm2!C:C)</f>
        <v>Quevedo</v>
      </c>
      <c r="G596" t="str">
        <f t="shared" si="48"/>
        <v>EC1205</v>
      </c>
      <c r="H596" t="str">
        <f t="shared" si="49"/>
        <v>EC12</v>
      </c>
      <c r="I596" t="str">
        <f>_xlfn.XLOOKUP(H596,eci_admgz_adm1!D:D,eci_admgz_adm1!C:C)</f>
        <v>Los Ríos</v>
      </c>
      <c r="J596" t="s">
        <v>2021</v>
      </c>
      <c r="K596" s="1" t="s">
        <v>2023</v>
      </c>
    </row>
    <row r="597" spans="1:11" ht="16" x14ac:dyDescent="0.2">
      <c r="A597" t="s">
        <v>1147</v>
      </c>
      <c r="B597" t="s">
        <v>876</v>
      </c>
      <c r="C597" t="str">
        <f t="shared" si="46"/>
        <v>La Esperanza</v>
      </c>
      <c r="D597" t="str">
        <f t="shared" si="45"/>
        <v>La Esperanza</v>
      </c>
      <c r="E597" t="str">
        <f t="shared" si="47"/>
        <v>EC120555</v>
      </c>
      <c r="F597" t="str">
        <f>_xlfn.XLOOKUP(G597,ecu_admgz_adm2!D:D,ecu_admgz_adm2!C:C)</f>
        <v>Quevedo</v>
      </c>
      <c r="G597" t="str">
        <f t="shared" si="48"/>
        <v>EC1205</v>
      </c>
      <c r="H597" t="str">
        <f t="shared" si="49"/>
        <v>EC12</v>
      </c>
      <c r="I597" t="str">
        <f>_xlfn.XLOOKUP(H597,eci_admgz_adm1!D:D,eci_admgz_adm1!C:C)</f>
        <v>Los Ríos</v>
      </c>
      <c r="J597" t="s">
        <v>2021</v>
      </c>
      <c r="K597" s="1" t="s">
        <v>2023</v>
      </c>
    </row>
    <row r="598" spans="1:11" ht="16" x14ac:dyDescent="0.2">
      <c r="A598" t="s">
        <v>1148</v>
      </c>
      <c r="B598" t="s">
        <v>1149</v>
      </c>
      <c r="C598" t="str">
        <f t="shared" si="46"/>
        <v>Catarama</v>
      </c>
      <c r="D598" t="str">
        <f t="shared" si="45"/>
        <v>Catarama</v>
      </c>
      <c r="E598" t="str">
        <f t="shared" si="47"/>
        <v>EC120650</v>
      </c>
      <c r="F598" t="str">
        <f>_xlfn.XLOOKUP(G598,ecu_admgz_adm2!D:D,ecu_admgz_adm2!C:C)</f>
        <v>Urdaneta</v>
      </c>
      <c r="G598" t="str">
        <f t="shared" si="48"/>
        <v>EC1206</v>
      </c>
      <c r="H598" t="str">
        <f t="shared" si="49"/>
        <v>EC12</v>
      </c>
      <c r="I598" t="str">
        <f>_xlfn.XLOOKUP(H598,eci_admgz_adm1!D:D,eci_admgz_adm1!C:C)</f>
        <v>Los Ríos</v>
      </c>
      <c r="J598" t="s">
        <v>2021</v>
      </c>
      <c r="K598" s="1" t="s">
        <v>2023</v>
      </c>
    </row>
    <row r="599" spans="1:11" ht="16" x14ac:dyDescent="0.2">
      <c r="A599" t="s">
        <v>1150</v>
      </c>
      <c r="B599" t="s">
        <v>27</v>
      </c>
      <c r="C599" t="str">
        <f t="shared" si="46"/>
        <v>Ricaurte</v>
      </c>
      <c r="D599" t="str">
        <f t="shared" si="45"/>
        <v>Ricaurte</v>
      </c>
      <c r="E599" t="str">
        <f t="shared" si="47"/>
        <v>EC120651</v>
      </c>
      <c r="F599" t="str">
        <f>_xlfn.XLOOKUP(G599,ecu_admgz_adm2!D:D,ecu_admgz_adm2!C:C)</f>
        <v>Urdaneta</v>
      </c>
      <c r="G599" t="str">
        <f t="shared" si="48"/>
        <v>EC1206</v>
      </c>
      <c r="H599" t="str">
        <f t="shared" si="49"/>
        <v>EC12</v>
      </c>
      <c r="I599" t="str">
        <f>_xlfn.XLOOKUP(H599,eci_admgz_adm1!D:D,eci_admgz_adm1!C:C)</f>
        <v>Los Ríos</v>
      </c>
      <c r="J599" t="s">
        <v>2021</v>
      </c>
      <c r="K599" s="1" t="s">
        <v>2023</v>
      </c>
    </row>
    <row r="600" spans="1:11" ht="16" x14ac:dyDescent="0.2">
      <c r="A600" t="s">
        <v>1151</v>
      </c>
      <c r="B600" t="s">
        <v>1152</v>
      </c>
      <c r="C600" t="str">
        <f t="shared" si="46"/>
        <v>Ventanas</v>
      </c>
      <c r="D600" t="str">
        <f t="shared" si="45"/>
        <v>Ventanas</v>
      </c>
      <c r="E600" t="str">
        <f t="shared" si="47"/>
        <v>EC120750</v>
      </c>
      <c r="F600" t="str">
        <f>_xlfn.XLOOKUP(G600,ecu_admgz_adm2!D:D,ecu_admgz_adm2!C:C)</f>
        <v>Ventanas</v>
      </c>
      <c r="G600" t="str">
        <f t="shared" si="48"/>
        <v>EC1207</v>
      </c>
      <c r="H600" t="str">
        <f t="shared" si="49"/>
        <v>EC12</v>
      </c>
      <c r="I600" t="str">
        <f>_xlfn.XLOOKUP(H600,eci_admgz_adm1!D:D,eci_admgz_adm1!C:C)</f>
        <v>Los Ríos</v>
      </c>
      <c r="J600" t="s">
        <v>2021</v>
      </c>
      <c r="K600" s="1" t="s">
        <v>2023</v>
      </c>
    </row>
    <row r="601" spans="1:11" ht="16" x14ac:dyDescent="0.2">
      <c r="A601" t="s">
        <v>1153</v>
      </c>
      <c r="B601" t="s">
        <v>1154</v>
      </c>
      <c r="C601" t="str">
        <f t="shared" si="46"/>
        <v>Zapotal</v>
      </c>
      <c r="D601" t="str">
        <f t="shared" si="45"/>
        <v>Zapotal</v>
      </c>
      <c r="E601" t="str">
        <f t="shared" si="47"/>
        <v>EC120752</v>
      </c>
      <c r="F601" t="str">
        <f>_xlfn.XLOOKUP(G601,ecu_admgz_adm2!D:D,ecu_admgz_adm2!C:C)</f>
        <v>Ventanas</v>
      </c>
      <c r="G601" t="str">
        <f t="shared" si="48"/>
        <v>EC1207</v>
      </c>
      <c r="H601" t="str">
        <f t="shared" si="49"/>
        <v>EC12</v>
      </c>
      <c r="I601" t="str">
        <f>_xlfn.XLOOKUP(H601,eci_admgz_adm1!D:D,eci_admgz_adm1!C:C)</f>
        <v>Los Ríos</v>
      </c>
      <c r="J601" t="s">
        <v>2021</v>
      </c>
      <c r="K601" s="1" t="s">
        <v>2023</v>
      </c>
    </row>
    <row r="602" spans="1:11" ht="16" x14ac:dyDescent="0.2">
      <c r="A602" t="s">
        <v>1155</v>
      </c>
      <c r="B602" t="s">
        <v>1156</v>
      </c>
      <c r="C602" t="str">
        <f t="shared" si="46"/>
        <v>Chacarita</v>
      </c>
      <c r="D602" t="str">
        <f t="shared" si="45"/>
        <v>Chacarita</v>
      </c>
      <c r="E602" t="str">
        <f t="shared" si="47"/>
        <v>EC120753</v>
      </c>
      <c r="F602" t="str">
        <f>_xlfn.XLOOKUP(G602,ecu_admgz_adm2!D:D,ecu_admgz_adm2!C:C)</f>
        <v>Ventanas</v>
      </c>
      <c r="G602" t="str">
        <f t="shared" si="48"/>
        <v>EC1207</v>
      </c>
      <c r="H602" t="str">
        <f t="shared" si="49"/>
        <v>EC12</v>
      </c>
      <c r="I602" t="str">
        <f>_xlfn.XLOOKUP(H602,eci_admgz_adm1!D:D,eci_admgz_adm1!C:C)</f>
        <v>Los Ríos</v>
      </c>
      <c r="J602" t="s">
        <v>2021</v>
      </c>
      <c r="K602" s="1" t="s">
        <v>2023</v>
      </c>
    </row>
    <row r="603" spans="1:11" ht="16" x14ac:dyDescent="0.2">
      <c r="A603" t="s">
        <v>1157</v>
      </c>
      <c r="B603" t="s">
        <v>1158</v>
      </c>
      <c r="C603" t="str">
        <f t="shared" si="46"/>
        <v>Los Ángeles</v>
      </c>
      <c r="D603" t="str">
        <f t="shared" si="45"/>
        <v>Los Ángeles</v>
      </c>
      <c r="E603" t="str">
        <f t="shared" si="47"/>
        <v>EC120754</v>
      </c>
      <c r="F603" t="str">
        <f>_xlfn.XLOOKUP(G603,ecu_admgz_adm2!D:D,ecu_admgz_adm2!C:C)</f>
        <v>Ventanas</v>
      </c>
      <c r="G603" t="str">
        <f t="shared" si="48"/>
        <v>EC1207</v>
      </c>
      <c r="H603" t="str">
        <f t="shared" si="49"/>
        <v>EC12</v>
      </c>
      <c r="I603" t="str">
        <f>_xlfn.XLOOKUP(H603,eci_admgz_adm1!D:D,eci_admgz_adm1!C:C)</f>
        <v>Los Ríos</v>
      </c>
      <c r="J603" t="s">
        <v>2021</v>
      </c>
      <c r="K603" s="1" t="s">
        <v>2023</v>
      </c>
    </row>
    <row r="604" spans="1:11" ht="16" x14ac:dyDescent="0.2">
      <c r="A604" t="s">
        <v>1159</v>
      </c>
      <c r="B604" t="s">
        <v>1160</v>
      </c>
      <c r="C604" t="str">
        <f t="shared" si="46"/>
        <v>Vinces</v>
      </c>
      <c r="D604" t="str">
        <f t="shared" si="45"/>
        <v>Vinces</v>
      </c>
      <c r="E604" t="str">
        <f t="shared" si="47"/>
        <v>EC120850</v>
      </c>
      <c r="F604" t="str">
        <f>_xlfn.XLOOKUP(G604,ecu_admgz_adm2!D:D,ecu_admgz_adm2!C:C)</f>
        <v>Vinces</v>
      </c>
      <c r="G604" t="str">
        <f t="shared" si="48"/>
        <v>EC1208</v>
      </c>
      <c r="H604" t="str">
        <f t="shared" si="49"/>
        <v>EC12</v>
      </c>
      <c r="I604" t="str">
        <f>_xlfn.XLOOKUP(H604,eci_admgz_adm1!D:D,eci_admgz_adm1!C:C)</f>
        <v>Los Ríos</v>
      </c>
      <c r="J604" t="s">
        <v>2021</v>
      </c>
      <c r="K604" s="1" t="s">
        <v>2023</v>
      </c>
    </row>
    <row r="605" spans="1:11" ht="16" x14ac:dyDescent="0.2">
      <c r="A605" t="s">
        <v>1161</v>
      </c>
      <c r="B605" t="s">
        <v>1162</v>
      </c>
      <c r="C605" t="str">
        <f t="shared" si="46"/>
        <v>Antonio Sotomayor</v>
      </c>
      <c r="D605" t="str">
        <f t="shared" si="45"/>
        <v>Antonio Sotomayor</v>
      </c>
      <c r="E605" t="str">
        <f t="shared" si="47"/>
        <v>EC120851</v>
      </c>
      <c r="F605" t="str">
        <f>_xlfn.XLOOKUP(G605,ecu_admgz_adm2!D:D,ecu_admgz_adm2!C:C)</f>
        <v>Vinces</v>
      </c>
      <c r="G605" t="str">
        <f t="shared" si="48"/>
        <v>EC1208</v>
      </c>
      <c r="H605" t="str">
        <f t="shared" si="49"/>
        <v>EC12</v>
      </c>
      <c r="I605" t="str">
        <f>_xlfn.XLOOKUP(H605,eci_admgz_adm1!D:D,eci_admgz_adm1!C:C)</f>
        <v>Los Ríos</v>
      </c>
      <c r="J605" t="s">
        <v>2021</v>
      </c>
      <c r="K605" s="1" t="s">
        <v>2023</v>
      </c>
    </row>
    <row r="606" spans="1:11" ht="16" x14ac:dyDescent="0.2">
      <c r="A606" t="s">
        <v>1163</v>
      </c>
      <c r="B606" t="s">
        <v>1164</v>
      </c>
      <c r="C606" t="str">
        <f t="shared" si="46"/>
        <v>Palenque</v>
      </c>
      <c r="D606" t="str">
        <f t="shared" si="45"/>
        <v>Palenque</v>
      </c>
      <c r="E606" t="str">
        <f t="shared" si="47"/>
        <v>EC120950</v>
      </c>
      <c r="F606" t="str">
        <f>_xlfn.XLOOKUP(G606,ecu_admgz_adm2!D:D,ecu_admgz_adm2!C:C)</f>
        <v>Palenque</v>
      </c>
      <c r="G606" t="str">
        <f t="shared" si="48"/>
        <v>EC1209</v>
      </c>
      <c r="H606" t="str">
        <f t="shared" si="49"/>
        <v>EC12</v>
      </c>
      <c r="I606" t="str">
        <f>_xlfn.XLOOKUP(H606,eci_admgz_adm1!D:D,eci_admgz_adm1!C:C)</f>
        <v>Los Ríos</v>
      </c>
      <c r="J606" t="s">
        <v>2021</v>
      </c>
      <c r="K606" s="1" t="s">
        <v>2023</v>
      </c>
    </row>
    <row r="607" spans="1:11" ht="16" x14ac:dyDescent="0.2">
      <c r="A607" t="s">
        <v>1165</v>
      </c>
      <c r="B607" t="s">
        <v>1166</v>
      </c>
      <c r="C607" t="str">
        <f t="shared" si="46"/>
        <v>San Jacinto De Buena Fe</v>
      </c>
      <c r="D607" t="str">
        <f t="shared" si="45"/>
        <v>San Jacinto de Buena Fe</v>
      </c>
      <c r="E607" t="str">
        <f t="shared" si="47"/>
        <v>EC121050</v>
      </c>
      <c r="F607" t="str">
        <f>_xlfn.XLOOKUP(G607,ecu_admgz_adm2!D:D,ecu_admgz_adm2!C:C)</f>
        <v>Buena Fe</v>
      </c>
      <c r="G607" t="str">
        <f t="shared" si="48"/>
        <v>EC1210</v>
      </c>
      <c r="H607" t="str">
        <f t="shared" si="49"/>
        <v>EC12</v>
      </c>
      <c r="I607" t="str">
        <f>_xlfn.XLOOKUP(H607,eci_admgz_adm1!D:D,eci_admgz_adm1!C:C)</f>
        <v>Los Ríos</v>
      </c>
      <c r="J607" t="s">
        <v>2021</v>
      </c>
      <c r="K607" s="1" t="s">
        <v>2023</v>
      </c>
    </row>
    <row r="608" spans="1:11" ht="16" x14ac:dyDescent="0.2">
      <c r="A608" t="s">
        <v>1167</v>
      </c>
      <c r="B608" t="s">
        <v>1168</v>
      </c>
      <c r="C608" t="str">
        <f t="shared" si="46"/>
        <v>Patricia Pilar</v>
      </c>
      <c r="D608" t="str">
        <f t="shared" si="45"/>
        <v>Patricia Pilar</v>
      </c>
      <c r="E608" t="str">
        <f t="shared" si="47"/>
        <v>EC121051</v>
      </c>
      <c r="F608" t="str">
        <f>_xlfn.XLOOKUP(G608,ecu_admgz_adm2!D:D,ecu_admgz_adm2!C:C)</f>
        <v>Buena Fe</v>
      </c>
      <c r="G608" t="str">
        <f t="shared" si="48"/>
        <v>EC1210</v>
      </c>
      <c r="H608" t="str">
        <f t="shared" si="49"/>
        <v>EC12</v>
      </c>
      <c r="I608" t="str">
        <f>_xlfn.XLOOKUP(H608,eci_admgz_adm1!D:D,eci_admgz_adm1!C:C)</f>
        <v>Los Ríos</v>
      </c>
      <c r="J608" t="s">
        <v>2021</v>
      </c>
      <c r="K608" s="1" t="s">
        <v>2023</v>
      </c>
    </row>
    <row r="609" spans="1:11" ht="16" x14ac:dyDescent="0.2">
      <c r="A609" t="s">
        <v>1169</v>
      </c>
      <c r="B609" t="s">
        <v>1170</v>
      </c>
      <c r="C609" t="str">
        <f t="shared" si="46"/>
        <v>Valencia</v>
      </c>
      <c r="D609" t="str">
        <f t="shared" si="45"/>
        <v>Valencia</v>
      </c>
      <c r="E609" t="str">
        <f t="shared" si="47"/>
        <v>EC121150</v>
      </c>
      <c r="F609" t="str">
        <f>_xlfn.XLOOKUP(G609,ecu_admgz_adm2!D:D,ecu_admgz_adm2!C:C)</f>
        <v>Valencia</v>
      </c>
      <c r="G609" t="str">
        <f t="shared" si="48"/>
        <v>EC1211</v>
      </c>
      <c r="H609" t="str">
        <f t="shared" si="49"/>
        <v>EC12</v>
      </c>
      <c r="I609" t="str">
        <f>_xlfn.XLOOKUP(H609,eci_admgz_adm1!D:D,eci_admgz_adm1!C:C)</f>
        <v>Los Ríos</v>
      </c>
      <c r="J609" t="s">
        <v>2021</v>
      </c>
      <c r="K609" s="1" t="s">
        <v>2023</v>
      </c>
    </row>
    <row r="610" spans="1:11" ht="16" x14ac:dyDescent="0.2">
      <c r="A610" t="s">
        <v>1171</v>
      </c>
      <c r="B610" t="s">
        <v>1172</v>
      </c>
      <c r="C610" t="str">
        <f t="shared" si="46"/>
        <v>Mocache</v>
      </c>
      <c r="D610" t="str">
        <f t="shared" si="45"/>
        <v>Mocache</v>
      </c>
      <c r="E610" t="str">
        <f t="shared" si="47"/>
        <v>EC121250</v>
      </c>
      <c r="F610" t="str">
        <f>_xlfn.XLOOKUP(G610,ecu_admgz_adm2!D:D,ecu_admgz_adm2!C:C)</f>
        <v>Mocache</v>
      </c>
      <c r="G610" t="str">
        <f t="shared" si="48"/>
        <v>EC1212</v>
      </c>
      <c r="H610" t="str">
        <f t="shared" si="49"/>
        <v>EC12</v>
      </c>
      <c r="I610" t="str">
        <f>_xlfn.XLOOKUP(H610,eci_admgz_adm1!D:D,eci_admgz_adm1!C:C)</f>
        <v>Los Ríos</v>
      </c>
      <c r="J610" t="s">
        <v>2021</v>
      </c>
      <c r="K610" s="1" t="s">
        <v>2023</v>
      </c>
    </row>
    <row r="611" spans="1:11" ht="16" x14ac:dyDescent="0.2">
      <c r="A611" t="s">
        <v>1173</v>
      </c>
      <c r="B611" t="s">
        <v>1174</v>
      </c>
      <c r="C611" t="str">
        <f t="shared" si="46"/>
        <v>Quinsaloma</v>
      </c>
      <c r="D611" t="str">
        <f t="shared" si="45"/>
        <v>Quinsaloma</v>
      </c>
      <c r="E611" t="str">
        <f t="shared" si="47"/>
        <v>EC121350</v>
      </c>
      <c r="F611" t="str">
        <f>_xlfn.XLOOKUP(G611,ecu_admgz_adm2!D:D,ecu_admgz_adm2!C:C)</f>
        <v>Quinsaloma</v>
      </c>
      <c r="G611" t="str">
        <f t="shared" si="48"/>
        <v>EC1213</v>
      </c>
      <c r="H611" t="str">
        <f t="shared" si="49"/>
        <v>EC12</v>
      </c>
      <c r="I611" t="str">
        <f>_xlfn.XLOOKUP(H611,eci_admgz_adm1!D:D,eci_admgz_adm1!C:C)</f>
        <v>Los Ríos</v>
      </c>
      <c r="J611" t="s">
        <v>2021</v>
      </c>
      <c r="K611" s="1" t="s">
        <v>2023</v>
      </c>
    </row>
    <row r="612" spans="1:11" ht="16" x14ac:dyDescent="0.2">
      <c r="A612" t="s">
        <v>1175</v>
      </c>
      <c r="B612" t="s">
        <v>1176</v>
      </c>
      <c r="C612" t="str">
        <f t="shared" si="46"/>
        <v>Portoviejo</v>
      </c>
      <c r="D612" t="str">
        <f t="shared" si="45"/>
        <v>Portoviejo</v>
      </c>
      <c r="E612" t="str">
        <f t="shared" si="47"/>
        <v>EC130150</v>
      </c>
      <c r="F612" t="str">
        <f>_xlfn.XLOOKUP(G612,ecu_admgz_adm2!D:D,ecu_admgz_adm2!C:C)</f>
        <v>Portoviejo</v>
      </c>
      <c r="G612" t="str">
        <f t="shared" si="48"/>
        <v>EC1301</v>
      </c>
      <c r="H612" t="str">
        <f t="shared" si="49"/>
        <v>EC13</v>
      </c>
      <c r="I612" t="str">
        <f>_xlfn.XLOOKUP(H612,eci_admgz_adm1!D:D,eci_admgz_adm1!C:C)</f>
        <v>Manabí</v>
      </c>
      <c r="J612" t="s">
        <v>2021</v>
      </c>
      <c r="K612" s="1" t="s">
        <v>2023</v>
      </c>
    </row>
    <row r="613" spans="1:11" ht="16" x14ac:dyDescent="0.2">
      <c r="A613" t="s">
        <v>1177</v>
      </c>
      <c r="B613" t="s">
        <v>105</v>
      </c>
      <c r="C613" t="str">
        <f t="shared" si="46"/>
        <v>Abdón Calderón</v>
      </c>
      <c r="D613" t="str">
        <f t="shared" si="45"/>
        <v>Abdón Calderón</v>
      </c>
      <c r="E613" t="str">
        <f t="shared" si="47"/>
        <v>EC130151</v>
      </c>
      <c r="F613" t="str">
        <f>_xlfn.XLOOKUP(G613,ecu_admgz_adm2!D:D,ecu_admgz_adm2!C:C)</f>
        <v>Portoviejo</v>
      </c>
      <c r="G613" t="str">
        <f t="shared" si="48"/>
        <v>EC1301</v>
      </c>
      <c r="H613" t="str">
        <f t="shared" si="49"/>
        <v>EC13</v>
      </c>
      <c r="I613" t="str">
        <f>_xlfn.XLOOKUP(H613,eci_admgz_adm1!D:D,eci_admgz_adm1!C:C)</f>
        <v>Manabí</v>
      </c>
      <c r="J613" t="s">
        <v>2021</v>
      </c>
      <c r="K613" s="1" t="s">
        <v>2023</v>
      </c>
    </row>
    <row r="614" spans="1:11" ht="16" x14ac:dyDescent="0.2">
      <c r="A614" t="s">
        <v>1178</v>
      </c>
      <c r="B614" t="s">
        <v>1179</v>
      </c>
      <c r="C614" t="str">
        <f t="shared" si="46"/>
        <v>Alhajuela</v>
      </c>
      <c r="D614" t="str">
        <f t="shared" si="45"/>
        <v>Alhajuela</v>
      </c>
      <c r="E614" t="str">
        <f t="shared" si="47"/>
        <v>EC130152</v>
      </c>
      <c r="F614" t="str">
        <f>_xlfn.XLOOKUP(G614,ecu_admgz_adm2!D:D,ecu_admgz_adm2!C:C)</f>
        <v>Portoviejo</v>
      </c>
      <c r="G614" t="str">
        <f t="shared" si="48"/>
        <v>EC1301</v>
      </c>
      <c r="H614" t="str">
        <f t="shared" si="49"/>
        <v>EC13</v>
      </c>
      <c r="I614" t="str">
        <f>_xlfn.XLOOKUP(H614,eci_admgz_adm1!D:D,eci_admgz_adm1!C:C)</f>
        <v>Manabí</v>
      </c>
      <c r="J614" t="s">
        <v>2021</v>
      </c>
      <c r="K614" s="1" t="s">
        <v>2023</v>
      </c>
    </row>
    <row r="615" spans="1:11" ht="16" x14ac:dyDescent="0.2">
      <c r="A615" t="s">
        <v>1180</v>
      </c>
      <c r="B615" t="s">
        <v>1181</v>
      </c>
      <c r="C615" t="str">
        <f t="shared" si="46"/>
        <v>Crucita</v>
      </c>
      <c r="D615" t="str">
        <f t="shared" si="45"/>
        <v>Crucita</v>
      </c>
      <c r="E615" t="str">
        <f t="shared" si="47"/>
        <v>EC130153</v>
      </c>
      <c r="F615" t="str">
        <f>_xlfn.XLOOKUP(G615,ecu_admgz_adm2!D:D,ecu_admgz_adm2!C:C)</f>
        <v>Portoviejo</v>
      </c>
      <c r="G615" t="str">
        <f t="shared" si="48"/>
        <v>EC1301</v>
      </c>
      <c r="H615" t="str">
        <f t="shared" si="49"/>
        <v>EC13</v>
      </c>
      <c r="I615" t="str">
        <f>_xlfn.XLOOKUP(H615,eci_admgz_adm1!D:D,eci_admgz_adm1!C:C)</f>
        <v>Manabí</v>
      </c>
      <c r="J615" t="s">
        <v>2021</v>
      </c>
      <c r="K615" s="1" t="s">
        <v>2023</v>
      </c>
    </row>
    <row r="616" spans="1:11" ht="16" x14ac:dyDescent="0.2">
      <c r="A616" t="s">
        <v>1182</v>
      </c>
      <c r="B616" t="s">
        <v>1183</v>
      </c>
      <c r="C616" t="str">
        <f t="shared" si="46"/>
        <v>Pueblo Nuevo</v>
      </c>
      <c r="D616" t="str">
        <f t="shared" si="45"/>
        <v>Pueblo Nuevo</v>
      </c>
      <c r="E616" t="str">
        <f t="shared" si="47"/>
        <v>EC130154</v>
      </c>
      <c r="F616" t="str">
        <f>_xlfn.XLOOKUP(G616,ecu_admgz_adm2!D:D,ecu_admgz_adm2!C:C)</f>
        <v>Portoviejo</v>
      </c>
      <c r="G616" t="str">
        <f t="shared" si="48"/>
        <v>EC1301</v>
      </c>
      <c r="H616" t="str">
        <f t="shared" si="49"/>
        <v>EC13</v>
      </c>
      <c r="I616" t="str">
        <f>_xlfn.XLOOKUP(H616,eci_admgz_adm1!D:D,eci_admgz_adm1!C:C)</f>
        <v>Manabí</v>
      </c>
      <c r="J616" t="s">
        <v>2021</v>
      </c>
      <c r="K616" s="1" t="s">
        <v>2023</v>
      </c>
    </row>
    <row r="617" spans="1:11" ht="16" x14ac:dyDescent="0.2">
      <c r="A617" t="s">
        <v>1184</v>
      </c>
      <c r="B617" t="s">
        <v>1185</v>
      </c>
      <c r="C617" t="str">
        <f t="shared" si="46"/>
        <v>Riochico</v>
      </c>
      <c r="D617" t="str">
        <f t="shared" si="45"/>
        <v>Riochico</v>
      </c>
      <c r="E617" t="str">
        <f t="shared" si="47"/>
        <v>EC130155</v>
      </c>
      <c r="F617" t="str">
        <f>_xlfn.XLOOKUP(G617,ecu_admgz_adm2!D:D,ecu_admgz_adm2!C:C)</f>
        <v>Portoviejo</v>
      </c>
      <c r="G617" t="str">
        <f t="shared" si="48"/>
        <v>EC1301</v>
      </c>
      <c r="H617" t="str">
        <f t="shared" si="49"/>
        <v>EC13</v>
      </c>
      <c r="I617" t="str">
        <f>_xlfn.XLOOKUP(H617,eci_admgz_adm1!D:D,eci_admgz_adm1!C:C)</f>
        <v>Manabí</v>
      </c>
      <c r="J617" t="s">
        <v>2021</v>
      </c>
      <c r="K617" s="1" t="s">
        <v>2023</v>
      </c>
    </row>
    <row r="618" spans="1:11" ht="16" x14ac:dyDescent="0.2">
      <c r="A618" t="s">
        <v>1186</v>
      </c>
      <c r="B618" t="s">
        <v>1187</v>
      </c>
      <c r="C618" t="str">
        <f t="shared" si="46"/>
        <v>San Plácido</v>
      </c>
      <c r="D618" t="str">
        <f t="shared" si="45"/>
        <v>San Plácido</v>
      </c>
      <c r="E618" t="str">
        <f t="shared" si="47"/>
        <v>EC130156</v>
      </c>
      <c r="F618" t="str">
        <f>_xlfn.XLOOKUP(G618,ecu_admgz_adm2!D:D,ecu_admgz_adm2!C:C)</f>
        <v>Portoviejo</v>
      </c>
      <c r="G618" t="str">
        <f t="shared" si="48"/>
        <v>EC1301</v>
      </c>
      <c r="H618" t="str">
        <f t="shared" si="49"/>
        <v>EC13</v>
      </c>
      <c r="I618" t="str">
        <f>_xlfn.XLOOKUP(H618,eci_admgz_adm1!D:D,eci_admgz_adm1!C:C)</f>
        <v>Manabí</v>
      </c>
      <c r="J618" t="s">
        <v>2021</v>
      </c>
      <c r="K618" s="1" t="s">
        <v>2023</v>
      </c>
    </row>
    <row r="619" spans="1:11" ht="16" x14ac:dyDescent="0.2">
      <c r="A619" t="s">
        <v>1188</v>
      </c>
      <c r="B619" t="s">
        <v>1189</v>
      </c>
      <c r="C619" t="str">
        <f t="shared" si="46"/>
        <v>Chirijos</v>
      </c>
      <c r="D619" t="str">
        <f t="shared" si="45"/>
        <v>Chirijos</v>
      </c>
      <c r="E619" t="str">
        <f t="shared" si="47"/>
        <v>EC130157</v>
      </c>
      <c r="F619" t="str">
        <f>_xlfn.XLOOKUP(G619,ecu_admgz_adm2!D:D,ecu_admgz_adm2!C:C)</f>
        <v>Portoviejo</v>
      </c>
      <c r="G619" t="str">
        <f t="shared" si="48"/>
        <v>EC1301</v>
      </c>
      <c r="H619" t="str">
        <f t="shared" si="49"/>
        <v>EC13</v>
      </c>
      <c r="I619" t="str">
        <f>_xlfn.XLOOKUP(H619,eci_admgz_adm1!D:D,eci_admgz_adm1!C:C)</f>
        <v>Manabí</v>
      </c>
      <c r="J619" t="s">
        <v>2021</v>
      </c>
      <c r="K619" s="1" t="s">
        <v>2023</v>
      </c>
    </row>
    <row r="620" spans="1:11" ht="16" x14ac:dyDescent="0.2">
      <c r="A620" t="s">
        <v>1190</v>
      </c>
      <c r="B620" t="s">
        <v>1191</v>
      </c>
      <c r="C620" t="str">
        <f t="shared" si="46"/>
        <v>Calceta</v>
      </c>
      <c r="D620" t="str">
        <f t="shared" si="45"/>
        <v>Calceta</v>
      </c>
      <c r="E620" t="str">
        <f t="shared" si="47"/>
        <v>EC130250</v>
      </c>
      <c r="F620" t="str">
        <f>_xlfn.XLOOKUP(G620,ecu_admgz_adm2!D:D,ecu_admgz_adm2!C:C)</f>
        <v>Bolívar</v>
      </c>
      <c r="G620" t="str">
        <f t="shared" si="48"/>
        <v>EC1302</v>
      </c>
      <c r="H620" t="str">
        <f t="shared" si="49"/>
        <v>EC13</v>
      </c>
      <c r="I620" t="str">
        <f>_xlfn.XLOOKUP(H620,eci_admgz_adm1!D:D,eci_admgz_adm1!C:C)</f>
        <v>Manabí</v>
      </c>
      <c r="J620" t="s">
        <v>2021</v>
      </c>
      <c r="K620" s="1" t="s">
        <v>2023</v>
      </c>
    </row>
    <row r="621" spans="1:11" ht="16" x14ac:dyDescent="0.2">
      <c r="A621" t="s">
        <v>1192</v>
      </c>
      <c r="B621" t="s">
        <v>1193</v>
      </c>
      <c r="C621" t="str">
        <f t="shared" si="46"/>
        <v>Membrillo</v>
      </c>
      <c r="D621" t="str">
        <f t="shared" si="45"/>
        <v>Membrillo</v>
      </c>
      <c r="E621" t="str">
        <f t="shared" si="47"/>
        <v>EC130251</v>
      </c>
      <c r="F621" t="str">
        <f>_xlfn.XLOOKUP(G621,ecu_admgz_adm2!D:D,ecu_admgz_adm2!C:C)</f>
        <v>Bolívar</v>
      </c>
      <c r="G621" t="str">
        <f t="shared" si="48"/>
        <v>EC1302</v>
      </c>
      <c r="H621" t="str">
        <f t="shared" si="49"/>
        <v>EC13</v>
      </c>
      <c r="I621" t="str">
        <f>_xlfn.XLOOKUP(H621,eci_admgz_adm1!D:D,eci_admgz_adm1!C:C)</f>
        <v>Manabí</v>
      </c>
      <c r="J621" t="s">
        <v>2021</v>
      </c>
      <c r="K621" s="1" t="s">
        <v>2023</v>
      </c>
    </row>
    <row r="622" spans="1:11" ht="16" x14ac:dyDescent="0.2">
      <c r="A622" t="s">
        <v>1194</v>
      </c>
      <c r="B622" t="s">
        <v>902</v>
      </c>
      <c r="C622" t="str">
        <f t="shared" si="46"/>
        <v>Quiroga</v>
      </c>
      <c r="D622" t="str">
        <f t="shared" si="45"/>
        <v>Quiroga</v>
      </c>
      <c r="E622" t="str">
        <f t="shared" si="47"/>
        <v>EC130252</v>
      </c>
      <c r="F622" t="str">
        <f>_xlfn.XLOOKUP(G622,ecu_admgz_adm2!D:D,ecu_admgz_adm2!C:C)</f>
        <v>Bolívar</v>
      </c>
      <c r="G622" t="str">
        <f t="shared" si="48"/>
        <v>EC1302</v>
      </c>
      <c r="H622" t="str">
        <f t="shared" si="49"/>
        <v>EC13</v>
      </c>
      <c r="I622" t="str">
        <f>_xlfn.XLOOKUP(H622,eci_admgz_adm1!D:D,eci_admgz_adm1!C:C)</f>
        <v>Manabí</v>
      </c>
      <c r="J622" t="s">
        <v>2021</v>
      </c>
      <c r="K622" s="1" t="s">
        <v>2023</v>
      </c>
    </row>
    <row r="623" spans="1:11" ht="16" x14ac:dyDescent="0.2">
      <c r="A623" t="s">
        <v>1195</v>
      </c>
      <c r="B623" t="s">
        <v>1196</v>
      </c>
      <c r="C623" t="str">
        <f t="shared" si="46"/>
        <v>Chone</v>
      </c>
      <c r="D623" t="str">
        <f t="shared" si="45"/>
        <v>Chone</v>
      </c>
      <c r="E623" t="str">
        <f t="shared" si="47"/>
        <v>EC130350</v>
      </c>
      <c r="F623" t="str">
        <f>_xlfn.XLOOKUP(G623,ecu_admgz_adm2!D:D,ecu_admgz_adm2!C:C)</f>
        <v>Chone</v>
      </c>
      <c r="G623" t="str">
        <f t="shared" si="48"/>
        <v>EC1303</v>
      </c>
      <c r="H623" t="str">
        <f t="shared" si="49"/>
        <v>EC13</v>
      </c>
      <c r="I623" t="str">
        <f>_xlfn.XLOOKUP(H623,eci_admgz_adm1!D:D,eci_admgz_adm1!C:C)</f>
        <v>Manabí</v>
      </c>
      <c r="J623" t="s">
        <v>2021</v>
      </c>
      <c r="K623" s="1" t="s">
        <v>2023</v>
      </c>
    </row>
    <row r="624" spans="1:11" ht="16" x14ac:dyDescent="0.2">
      <c r="A624" t="s">
        <v>1197</v>
      </c>
      <c r="B624" t="s">
        <v>1198</v>
      </c>
      <c r="C624" t="str">
        <f t="shared" si="46"/>
        <v>Boyacá</v>
      </c>
      <c r="D624" t="str">
        <f t="shared" si="45"/>
        <v>Boyacá</v>
      </c>
      <c r="E624" t="str">
        <f t="shared" si="47"/>
        <v>EC130351</v>
      </c>
      <c r="F624" t="str">
        <f>_xlfn.XLOOKUP(G624,ecu_admgz_adm2!D:D,ecu_admgz_adm2!C:C)</f>
        <v>Chone</v>
      </c>
      <c r="G624" t="str">
        <f t="shared" si="48"/>
        <v>EC1303</v>
      </c>
      <c r="H624" t="str">
        <f t="shared" si="49"/>
        <v>EC13</v>
      </c>
      <c r="I624" t="str">
        <f>_xlfn.XLOOKUP(H624,eci_admgz_adm1!D:D,eci_admgz_adm1!C:C)</f>
        <v>Manabí</v>
      </c>
      <c r="J624" t="s">
        <v>2021</v>
      </c>
      <c r="K624" s="1" t="s">
        <v>2023</v>
      </c>
    </row>
    <row r="625" spans="1:11" ht="16" x14ac:dyDescent="0.2">
      <c r="A625" t="s">
        <v>1199</v>
      </c>
      <c r="B625" t="s">
        <v>1200</v>
      </c>
      <c r="C625" t="str">
        <f t="shared" si="46"/>
        <v>Canuto</v>
      </c>
      <c r="D625" t="str">
        <f t="shared" si="45"/>
        <v>Canuto</v>
      </c>
      <c r="E625" t="str">
        <f t="shared" si="47"/>
        <v>EC130352</v>
      </c>
      <c r="F625" t="str">
        <f>_xlfn.XLOOKUP(G625,ecu_admgz_adm2!D:D,ecu_admgz_adm2!C:C)</f>
        <v>Chone</v>
      </c>
      <c r="G625" t="str">
        <f t="shared" si="48"/>
        <v>EC1303</v>
      </c>
      <c r="H625" t="str">
        <f t="shared" si="49"/>
        <v>EC13</v>
      </c>
      <c r="I625" t="str">
        <f>_xlfn.XLOOKUP(H625,eci_admgz_adm1!D:D,eci_admgz_adm1!C:C)</f>
        <v>Manabí</v>
      </c>
      <c r="J625" t="s">
        <v>2021</v>
      </c>
      <c r="K625" s="1" t="s">
        <v>2023</v>
      </c>
    </row>
    <row r="626" spans="1:11" ht="16" x14ac:dyDescent="0.2">
      <c r="A626" t="s">
        <v>1201</v>
      </c>
      <c r="B626" t="s">
        <v>1202</v>
      </c>
      <c r="C626" t="str">
        <f t="shared" si="46"/>
        <v>Convento</v>
      </c>
      <c r="D626" t="str">
        <f t="shared" si="45"/>
        <v>Convento</v>
      </c>
      <c r="E626" t="str">
        <f t="shared" si="47"/>
        <v>EC130353</v>
      </c>
      <c r="F626" t="str">
        <f>_xlfn.XLOOKUP(G626,ecu_admgz_adm2!D:D,ecu_admgz_adm2!C:C)</f>
        <v>Chone</v>
      </c>
      <c r="G626" t="str">
        <f t="shared" si="48"/>
        <v>EC1303</v>
      </c>
      <c r="H626" t="str">
        <f t="shared" si="49"/>
        <v>EC13</v>
      </c>
      <c r="I626" t="str">
        <f>_xlfn.XLOOKUP(H626,eci_admgz_adm1!D:D,eci_admgz_adm1!C:C)</f>
        <v>Manabí</v>
      </c>
      <c r="J626" t="s">
        <v>2021</v>
      </c>
      <c r="K626" s="1" t="s">
        <v>2023</v>
      </c>
    </row>
    <row r="627" spans="1:11" ht="16" x14ac:dyDescent="0.2">
      <c r="A627" t="s">
        <v>1203</v>
      </c>
      <c r="B627" t="s">
        <v>1204</v>
      </c>
      <c r="C627" t="str">
        <f t="shared" si="46"/>
        <v>Chibunga</v>
      </c>
      <c r="D627" t="str">
        <f t="shared" si="45"/>
        <v>Chibunga</v>
      </c>
      <c r="E627" t="str">
        <f t="shared" si="47"/>
        <v>EC130354</v>
      </c>
      <c r="F627" t="str">
        <f>_xlfn.XLOOKUP(G627,ecu_admgz_adm2!D:D,ecu_admgz_adm2!C:C)</f>
        <v>Chone</v>
      </c>
      <c r="G627" t="str">
        <f t="shared" si="48"/>
        <v>EC1303</v>
      </c>
      <c r="H627" t="str">
        <f t="shared" si="49"/>
        <v>EC13</v>
      </c>
      <c r="I627" t="str">
        <f>_xlfn.XLOOKUP(H627,eci_admgz_adm1!D:D,eci_admgz_adm1!C:C)</f>
        <v>Manabí</v>
      </c>
      <c r="J627" t="s">
        <v>2021</v>
      </c>
      <c r="K627" s="1" t="s">
        <v>2023</v>
      </c>
    </row>
    <row r="628" spans="1:11" ht="16" x14ac:dyDescent="0.2">
      <c r="A628" t="s">
        <v>1205</v>
      </c>
      <c r="B628" t="s">
        <v>664</v>
      </c>
      <c r="C628" t="str">
        <f t="shared" si="46"/>
        <v>Eloy Alfaro</v>
      </c>
      <c r="D628" t="str">
        <f t="shared" si="45"/>
        <v>Eloy Alfaro</v>
      </c>
      <c r="E628" t="str">
        <f t="shared" si="47"/>
        <v>EC130355</v>
      </c>
      <c r="F628" t="str">
        <f>_xlfn.XLOOKUP(G628,ecu_admgz_adm2!D:D,ecu_admgz_adm2!C:C)</f>
        <v>Chone</v>
      </c>
      <c r="G628" t="str">
        <f t="shared" si="48"/>
        <v>EC1303</v>
      </c>
      <c r="H628" t="str">
        <f t="shared" si="49"/>
        <v>EC13</v>
      </c>
      <c r="I628" t="str">
        <f>_xlfn.XLOOKUP(H628,eci_admgz_adm1!D:D,eci_admgz_adm1!C:C)</f>
        <v>Manabí</v>
      </c>
      <c r="J628" t="s">
        <v>2021</v>
      </c>
      <c r="K628" s="1" t="s">
        <v>2023</v>
      </c>
    </row>
    <row r="629" spans="1:11" ht="16" x14ac:dyDescent="0.2">
      <c r="A629" t="s">
        <v>1206</v>
      </c>
      <c r="B629" t="s">
        <v>27</v>
      </c>
      <c r="C629" t="str">
        <f t="shared" si="46"/>
        <v>Ricaurte</v>
      </c>
      <c r="D629" t="str">
        <f t="shared" si="45"/>
        <v>Ricaurte</v>
      </c>
      <c r="E629" t="str">
        <f t="shared" si="47"/>
        <v>EC130356</v>
      </c>
      <c r="F629" t="str">
        <f>_xlfn.XLOOKUP(G629,ecu_admgz_adm2!D:D,ecu_admgz_adm2!C:C)</f>
        <v>Chone</v>
      </c>
      <c r="G629" t="str">
        <f t="shared" si="48"/>
        <v>EC1303</v>
      </c>
      <c r="H629" t="str">
        <f t="shared" si="49"/>
        <v>EC13</v>
      </c>
      <c r="I629" t="str">
        <f>_xlfn.XLOOKUP(H629,eci_admgz_adm1!D:D,eci_admgz_adm1!C:C)</f>
        <v>Manabí</v>
      </c>
      <c r="J629" t="s">
        <v>2021</v>
      </c>
      <c r="K629" s="1" t="s">
        <v>2023</v>
      </c>
    </row>
    <row r="630" spans="1:11" ht="16" x14ac:dyDescent="0.2">
      <c r="A630" t="s">
        <v>1207</v>
      </c>
      <c r="B630" t="s">
        <v>250</v>
      </c>
      <c r="C630" t="str">
        <f t="shared" si="46"/>
        <v>San Antonio</v>
      </c>
      <c r="D630" t="str">
        <f t="shared" si="45"/>
        <v>San Antonio</v>
      </c>
      <c r="E630" t="str">
        <f t="shared" si="47"/>
        <v>EC130357</v>
      </c>
      <c r="F630" t="str">
        <f>_xlfn.XLOOKUP(G630,ecu_admgz_adm2!D:D,ecu_admgz_adm2!C:C)</f>
        <v>Chone</v>
      </c>
      <c r="G630" t="str">
        <f t="shared" si="48"/>
        <v>EC1303</v>
      </c>
      <c r="H630" t="str">
        <f t="shared" si="49"/>
        <v>EC13</v>
      </c>
      <c r="I630" t="str">
        <f>_xlfn.XLOOKUP(H630,eci_admgz_adm1!D:D,eci_admgz_adm1!C:C)</f>
        <v>Manabí</v>
      </c>
      <c r="J630" t="s">
        <v>2021</v>
      </c>
      <c r="K630" s="1" t="s">
        <v>2023</v>
      </c>
    </row>
    <row r="631" spans="1:11" ht="16" x14ac:dyDescent="0.2">
      <c r="A631" t="s">
        <v>1208</v>
      </c>
      <c r="B631" t="s">
        <v>1209</v>
      </c>
      <c r="C631" t="str">
        <f t="shared" si="46"/>
        <v>El Carmen</v>
      </c>
      <c r="D631" t="str">
        <f t="shared" si="45"/>
        <v>El Carmen</v>
      </c>
      <c r="E631" t="str">
        <f t="shared" si="47"/>
        <v>EC130450</v>
      </c>
      <c r="F631" t="str">
        <f>_xlfn.XLOOKUP(G631,ecu_admgz_adm2!D:D,ecu_admgz_adm2!C:C)</f>
        <v>El Carmen</v>
      </c>
      <c r="G631" t="str">
        <f t="shared" si="48"/>
        <v>EC1304</v>
      </c>
      <c r="H631" t="str">
        <f t="shared" si="49"/>
        <v>EC13</v>
      </c>
      <c r="I631" t="str">
        <f>_xlfn.XLOOKUP(H631,eci_admgz_adm1!D:D,eci_admgz_adm1!C:C)</f>
        <v>Manabí</v>
      </c>
      <c r="J631" t="s">
        <v>2021</v>
      </c>
      <c r="K631" s="1" t="s">
        <v>2023</v>
      </c>
    </row>
    <row r="632" spans="1:11" ht="16" x14ac:dyDescent="0.2">
      <c r="A632" t="s">
        <v>1210</v>
      </c>
      <c r="B632" t="s">
        <v>1211</v>
      </c>
      <c r="C632" t="str">
        <f t="shared" si="46"/>
        <v>Wilfrido Loor Moreira</v>
      </c>
      <c r="D632" t="str">
        <f t="shared" si="45"/>
        <v>Wilfrido Loor Moreira</v>
      </c>
      <c r="E632" t="str">
        <f t="shared" si="47"/>
        <v>EC130451</v>
      </c>
      <c r="F632" t="str">
        <f>_xlfn.XLOOKUP(G632,ecu_admgz_adm2!D:D,ecu_admgz_adm2!C:C)</f>
        <v>El Carmen</v>
      </c>
      <c r="G632" t="str">
        <f t="shared" si="48"/>
        <v>EC1304</v>
      </c>
      <c r="H632" t="str">
        <f t="shared" si="49"/>
        <v>EC13</v>
      </c>
      <c r="I632" t="str">
        <f>_xlfn.XLOOKUP(H632,eci_admgz_adm1!D:D,eci_admgz_adm1!C:C)</f>
        <v>Manabí</v>
      </c>
      <c r="J632" t="s">
        <v>2021</v>
      </c>
      <c r="K632" s="1" t="s">
        <v>2023</v>
      </c>
    </row>
    <row r="633" spans="1:11" ht="16" x14ac:dyDescent="0.2">
      <c r="A633" t="s">
        <v>1212</v>
      </c>
      <c r="B633" t="s">
        <v>1213</v>
      </c>
      <c r="C633" t="str">
        <f t="shared" si="46"/>
        <v>San Pedro De Suma</v>
      </c>
      <c r="D633" t="str">
        <f t="shared" si="45"/>
        <v>San Pedro de Suma</v>
      </c>
      <c r="E633" t="str">
        <f t="shared" si="47"/>
        <v>EC130452</v>
      </c>
      <c r="F633" t="str">
        <f>_xlfn.XLOOKUP(G633,ecu_admgz_adm2!D:D,ecu_admgz_adm2!C:C)</f>
        <v>El Carmen</v>
      </c>
      <c r="G633" t="str">
        <f t="shared" si="48"/>
        <v>EC1304</v>
      </c>
      <c r="H633" t="str">
        <f t="shared" si="49"/>
        <v>EC13</v>
      </c>
      <c r="I633" t="str">
        <f>_xlfn.XLOOKUP(H633,eci_admgz_adm1!D:D,eci_admgz_adm1!C:C)</f>
        <v>Manabí</v>
      </c>
      <c r="J633" t="s">
        <v>2021</v>
      </c>
      <c r="K633" s="1" t="s">
        <v>2023</v>
      </c>
    </row>
    <row r="634" spans="1:11" ht="16" x14ac:dyDescent="0.2">
      <c r="A634" t="s">
        <v>1214</v>
      </c>
      <c r="B634" t="s">
        <v>1215</v>
      </c>
      <c r="C634" t="str">
        <f t="shared" si="46"/>
        <v>Santa María</v>
      </c>
      <c r="D634" t="str">
        <f t="shared" si="45"/>
        <v>Santa María</v>
      </c>
      <c r="E634" t="str">
        <f t="shared" si="47"/>
        <v>EC130453</v>
      </c>
      <c r="F634" t="str">
        <f>_xlfn.XLOOKUP(G634,ecu_admgz_adm2!D:D,ecu_admgz_adm2!C:C)</f>
        <v>El Carmen</v>
      </c>
      <c r="G634" t="str">
        <f t="shared" si="48"/>
        <v>EC1304</v>
      </c>
      <c r="H634" t="str">
        <f t="shared" si="49"/>
        <v>EC13</v>
      </c>
      <c r="I634" t="str">
        <f>_xlfn.XLOOKUP(H634,eci_admgz_adm1!D:D,eci_admgz_adm1!C:C)</f>
        <v>Manabí</v>
      </c>
      <c r="J634" t="s">
        <v>2021</v>
      </c>
      <c r="K634" s="1" t="s">
        <v>2023</v>
      </c>
    </row>
    <row r="635" spans="1:11" ht="16" x14ac:dyDescent="0.2">
      <c r="A635" t="s">
        <v>1216</v>
      </c>
      <c r="B635" t="s">
        <v>1217</v>
      </c>
      <c r="C635" t="str">
        <f t="shared" si="46"/>
        <v>El Paraíso La 14</v>
      </c>
      <c r="D635" t="str">
        <f t="shared" si="45"/>
        <v>El Paraíso la 14</v>
      </c>
      <c r="E635" t="str">
        <f t="shared" si="47"/>
        <v>EC130454</v>
      </c>
      <c r="F635" t="str">
        <f>_xlfn.XLOOKUP(G635,ecu_admgz_adm2!D:D,ecu_admgz_adm2!C:C)</f>
        <v>El Carmen</v>
      </c>
      <c r="G635" t="str">
        <f t="shared" si="48"/>
        <v>EC1304</v>
      </c>
      <c r="H635" t="str">
        <f t="shared" si="49"/>
        <v>EC13</v>
      </c>
      <c r="I635" t="str">
        <f>_xlfn.XLOOKUP(H635,eci_admgz_adm1!D:D,eci_admgz_adm1!C:C)</f>
        <v>Manabí</v>
      </c>
      <c r="J635" t="s">
        <v>2021</v>
      </c>
      <c r="K635" s="1" t="s">
        <v>2023</v>
      </c>
    </row>
    <row r="636" spans="1:11" ht="16" x14ac:dyDescent="0.2">
      <c r="A636" t="s">
        <v>1218</v>
      </c>
      <c r="B636" t="s">
        <v>1219</v>
      </c>
      <c r="C636" t="str">
        <f t="shared" si="46"/>
        <v>Flavio Alfaro</v>
      </c>
      <c r="D636" t="str">
        <f t="shared" si="45"/>
        <v>Flavio Alfaro</v>
      </c>
      <c r="E636" t="str">
        <f t="shared" si="47"/>
        <v>EC130550</v>
      </c>
      <c r="F636" t="str">
        <f>_xlfn.XLOOKUP(G636,ecu_admgz_adm2!D:D,ecu_admgz_adm2!C:C)</f>
        <v>Flavio Alfaro</v>
      </c>
      <c r="G636" t="str">
        <f t="shared" si="48"/>
        <v>EC1305</v>
      </c>
      <c r="H636" t="str">
        <f t="shared" si="49"/>
        <v>EC13</v>
      </c>
      <c r="I636" t="str">
        <f>_xlfn.XLOOKUP(H636,eci_admgz_adm1!D:D,eci_admgz_adm1!C:C)</f>
        <v>Manabí</v>
      </c>
      <c r="J636" t="s">
        <v>2021</v>
      </c>
      <c r="K636" s="1" t="s">
        <v>2023</v>
      </c>
    </row>
    <row r="637" spans="1:11" ht="16" x14ac:dyDescent="0.2">
      <c r="A637" t="s">
        <v>1220</v>
      </c>
      <c r="B637" t="s">
        <v>1221</v>
      </c>
      <c r="C637" t="str">
        <f t="shared" si="46"/>
        <v>San Francisco De Novillo</v>
      </c>
      <c r="D637" t="str">
        <f t="shared" si="45"/>
        <v>San Francisco de Novillo</v>
      </c>
      <c r="E637" t="str">
        <f t="shared" si="47"/>
        <v>EC130551</v>
      </c>
      <c r="F637" t="str">
        <f>_xlfn.XLOOKUP(G637,ecu_admgz_adm2!D:D,ecu_admgz_adm2!C:C)</f>
        <v>Flavio Alfaro</v>
      </c>
      <c r="G637" t="str">
        <f t="shared" si="48"/>
        <v>EC1305</v>
      </c>
      <c r="H637" t="str">
        <f t="shared" si="49"/>
        <v>EC13</v>
      </c>
      <c r="I637" t="str">
        <f>_xlfn.XLOOKUP(H637,eci_admgz_adm1!D:D,eci_admgz_adm1!C:C)</f>
        <v>Manabí</v>
      </c>
      <c r="J637" t="s">
        <v>2021</v>
      </c>
      <c r="K637" s="1" t="s">
        <v>2023</v>
      </c>
    </row>
    <row r="638" spans="1:11" ht="16" x14ac:dyDescent="0.2">
      <c r="A638" t="s">
        <v>1222</v>
      </c>
      <c r="B638" t="s">
        <v>1223</v>
      </c>
      <c r="C638" t="str">
        <f t="shared" si="46"/>
        <v>Zapallo</v>
      </c>
      <c r="D638" t="str">
        <f t="shared" si="45"/>
        <v>Zapallo</v>
      </c>
      <c r="E638" t="str">
        <f t="shared" si="47"/>
        <v>EC130552</v>
      </c>
      <c r="F638" t="str">
        <f>_xlfn.XLOOKUP(G638,ecu_admgz_adm2!D:D,ecu_admgz_adm2!C:C)</f>
        <v>Flavio Alfaro</v>
      </c>
      <c r="G638" t="str">
        <f t="shared" si="48"/>
        <v>EC1305</v>
      </c>
      <c r="H638" t="str">
        <f t="shared" si="49"/>
        <v>EC13</v>
      </c>
      <c r="I638" t="str">
        <f>_xlfn.XLOOKUP(H638,eci_admgz_adm1!D:D,eci_admgz_adm1!C:C)</f>
        <v>Manabí</v>
      </c>
      <c r="J638" t="s">
        <v>2021</v>
      </c>
      <c r="K638" s="1" t="s">
        <v>2023</v>
      </c>
    </row>
    <row r="639" spans="1:11" ht="16" x14ac:dyDescent="0.2">
      <c r="A639" t="s">
        <v>1224</v>
      </c>
      <c r="B639" t="s">
        <v>1225</v>
      </c>
      <c r="C639" t="str">
        <f t="shared" si="46"/>
        <v>Jipijapa</v>
      </c>
      <c r="D639" t="str">
        <f t="shared" si="45"/>
        <v>Jipijapa</v>
      </c>
      <c r="E639" t="str">
        <f t="shared" si="47"/>
        <v>EC130650</v>
      </c>
      <c r="F639" t="str">
        <f>_xlfn.XLOOKUP(G639,ecu_admgz_adm2!D:D,ecu_admgz_adm2!C:C)</f>
        <v>Jipijapa</v>
      </c>
      <c r="G639" t="str">
        <f t="shared" si="48"/>
        <v>EC1306</v>
      </c>
      <c r="H639" t="str">
        <f t="shared" si="49"/>
        <v>EC13</v>
      </c>
      <c r="I639" t="str">
        <f>_xlfn.XLOOKUP(H639,eci_admgz_adm1!D:D,eci_admgz_adm1!C:C)</f>
        <v>Manabí</v>
      </c>
      <c r="J639" t="s">
        <v>2021</v>
      </c>
      <c r="K639" s="1" t="s">
        <v>2023</v>
      </c>
    </row>
    <row r="640" spans="1:11" ht="16" x14ac:dyDescent="0.2">
      <c r="A640" t="s">
        <v>1226</v>
      </c>
      <c r="B640" t="s">
        <v>1227</v>
      </c>
      <c r="C640" t="str">
        <f t="shared" si="46"/>
        <v>América</v>
      </c>
      <c r="D640" t="str">
        <f t="shared" si="45"/>
        <v>América</v>
      </c>
      <c r="E640" t="str">
        <f t="shared" si="47"/>
        <v>EC130651</v>
      </c>
      <c r="F640" t="str">
        <f>_xlfn.XLOOKUP(G640,ecu_admgz_adm2!D:D,ecu_admgz_adm2!C:C)</f>
        <v>Jipijapa</v>
      </c>
      <c r="G640" t="str">
        <f t="shared" si="48"/>
        <v>EC1306</v>
      </c>
      <c r="H640" t="str">
        <f t="shared" si="49"/>
        <v>EC13</v>
      </c>
      <c r="I640" t="str">
        <f>_xlfn.XLOOKUP(H640,eci_admgz_adm1!D:D,eci_admgz_adm1!C:C)</f>
        <v>Manabí</v>
      </c>
      <c r="J640" t="s">
        <v>2021</v>
      </c>
      <c r="K640" s="1" t="s">
        <v>2023</v>
      </c>
    </row>
    <row r="641" spans="1:11" ht="16" x14ac:dyDescent="0.2">
      <c r="A641" t="s">
        <v>1228</v>
      </c>
      <c r="B641" t="s">
        <v>1229</v>
      </c>
      <c r="C641" t="str">
        <f t="shared" si="46"/>
        <v>El Anegado</v>
      </c>
      <c r="D641" t="str">
        <f t="shared" si="45"/>
        <v>El Anegado</v>
      </c>
      <c r="E641" t="str">
        <f t="shared" si="47"/>
        <v>EC130652</v>
      </c>
      <c r="F641" t="str">
        <f>_xlfn.XLOOKUP(G641,ecu_admgz_adm2!D:D,ecu_admgz_adm2!C:C)</f>
        <v>Jipijapa</v>
      </c>
      <c r="G641" t="str">
        <f t="shared" si="48"/>
        <v>EC1306</v>
      </c>
      <c r="H641" t="str">
        <f t="shared" si="49"/>
        <v>EC13</v>
      </c>
      <c r="I641" t="str">
        <f>_xlfn.XLOOKUP(H641,eci_admgz_adm1!D:D,eci_admgz_adm1!C:C)</f>
        <v>Manabí</v>
      </c>
      <c r="J641" t="s">
        <v>2021</v>
      </c>
      <c r="K641" s="1" t="s">
        <v>2023</v>
      </c>
    </row>
    <row r="642" spans="1:11" ht="16" x14ac:dyDescent="0.2">
      <c r="A642" t="s">
        <v>1230</v>
      </c>
      <c r="B642" t="s">
        <v>1231</v>
      </c>
      <c r="C642" t="str">
        <f t="shared" si="46"/>
        <v>Julcuy</v>
      </c>
      <c r="D642" t="str">
        <f t="shared" ref="D642:D705" si="50">SUBSTITUTE(SUBSTITUTE(SUBSTITUTE(SUBSTITUTE(SUBSTITUTE(SUBSTITUTE(PROPER($C642)," De "," de ")," La "," la ")," Del "," del ")," Los "," los ")," Y "," y "),"En","en")</f>
        <v>Julcuy</v>
      </c>
      <c r="E642" t="str">
        <f t="shared" si="47"/>
        <v>EC130653</v>
      </c>
      <c r="F642" t="str">
        <f>_xlfn.XLOOKUP(G642,ecu_admgz_adm2!D:D,ecu_admgz_adm2!C:C)</f>
        <v>Jipijapa</v>
      </c>
      <c r="G642" t="str">
        <f t="shared" si="48"/>
        <v>EC1306</v>
      </c>
      <c r="H642" t="str">
        <f t="shared" si="49"/>
        <v>EC13</v>
      </c>
      <c r="I642" t="str">
        <f>_xlfn.XLOOKUP(H642,eci_admgz_adm1!D:D,eci_admgz_adm1!C:C)</f>
        <v>Manabí</v>
      </c>
      <c r="J642" t="s">
        <v>2021</v>
      </c>
      <c r="K642" s="1" t="s">
        <v>2023</v>
      </c>
    </row>
    <row r="643" spans="1:11" ht="16" x14ac:dyDescent="0.2">
      <c r="A643" t="s">
        <v>1232</v>
      </c>
      <c r="B643" t="s">
        <v>135</v>
      </c>
      <c r="C643" t="str">
        <f t="shared" ref="C643:C706" si="51">PROPER(B643)</f>
        <v>La Unión</v>
      </c>
      <c r="D643" t="str">
        <f t="shared" si="50"/>
        <v>La Unión</v>
      </c>
      <c r="E643" t="str">
        <f t="shared" ref="E643:E706" si="52">"EC"&amp;A643</f>
        <v>EC130654</v>
      </c>
      <c r="F643" t="str">
        <f>_xlfn.XLOOKUP(G643,ecu_admgz_adm2!D:D,ecu_admgz_adm2!C:C)</f>
        <v>Jipijapa</v>
      </c>
      <c r="G643" t="str">
        <f t="shared" ref="G643:G706" si="53">LEFT(E643,6)</f>
        <v>EC1306</v>
      </c>
      <c r="H643" t="str">
        <f t="shared" ref="H643:H706" si="54">LEFT(G643,4)</f>
        <v>EC13</v>
      </c>
      <c r="I643" t="str">
        <f>_xlfn.XLOOKUP(H643,eci_admgz_adm1!D:D,eci_admgz_adm1!C:C)</f>
        <v>Manabí</v>
      </c>
      <c r="J643" t="s">
        <v>2021</v>
      </c>
      <c r="K643" s="1" t="s">
        <v>2023</v>
      </c>
    </row>
    <row r="644" spans="1:11" ht="16" x14ac:dyDescent="0.2">
      <c r="A644" t="s">
        <v>1233</v>
      </c>
      <c r="B644" t="s">
        <v>1234</v>
      </c>
      <c r="C644" t="str">
        <f t="shared" si="51"/>
        <v>Membrillal</v>
      </c>
      <c r="D644" t="str">
        <f t="shared" si="50"/>
        <v>Membrillal</v>
      </c>
      <c r="E644" t="str">
        <f t="shared" si="52"/>
        <v>EC130656</v>
      </c>
      <c r="F644" t="str">
        <f>_xlfn.XLOOKUP(G644,ecu_admgz_adm2!D:D,ecu_admgz_adm2!C:C)</f>
        <v>Jipijapa</v>
      </c>
      <c r="G644" t="str">
        <f t="shared" si="53"/>
        <v>EC1306</v>
      </c>
      <c r="H644" t="str">
        <f t="shared" si="54"/>
        <v>EC13</v>
      </c>
      <c r="I644" t="str">
        <f>_xlfn.XLOOKUP(H644,eci_admgz_adm1!D:D,eci_admgz_adm1!C:C)</f>
        <v>Manabí</v>
      </c>
      <c r="J644" t="s">
        <v>2021</v>
      </c>
      <c r="K644" s="1" t="s">
        <v>2023</v>
      </c>
    </row>
    <row r="645" spans="1:11" ht="16" x14ac:dyDescent="0.2">
      <c r="A645" t="s">
        <v>1235</v>
      </c>
      <c r="B645" t="s">
        <v>1236</v>
      </c>
      <c r="C645" t="str">
        <f t="shared" si="51"/>
        <v>Pedro Pablo Gómez</v>
      </c>
      <c r="D645" t="str">
        <f t="shared" si="50"/>
        <v>Pedro Pablo Gómez</v>
      </c>
      <c r="E645" t="str">
        <f t="shared" si="52"/>
        <v>EC130657</v>
      </c>
      <c r="F645" t="str">
        <f>_xlfn.XLOOKUP(G645,ecu_admgz_adm2!D:D,ecu_admgz_adm2!C:C)</f>
        <v>Jipijapa</v>
      </c>
      <c r="G645" t="str">
        <f t="shared" si="53"/>
        <v>EC1306</v>
      </c>
      <c r="H645" t="str">
        <f t="shared" si="54"/>
        <v>EC13</v>
      </c>
      <c r="I645" t="str">
        <f>_xlfn.XLOOKUP(H645,eci_admgz_adm1!D:D,eci_admgz_adm1!C:C)</f>
        <v>Manabí</v>
      </c>
      <c r="J645" t="s">
        <v>2021</v>
      </c>
      <c r="K645" s="1" t="s">
        <v>2023</v>
      </c>
    </row>
    <row r="646" spans="1:11" ht="16" x14ac:dyDescent="0.2">
      <c r="A646" t="s">
        <v>1237</v>
      </c>
      <c r="B646" t="s">
        <v>1238</v>
      </c>
      <c r="C646" t="str">
        <f t="shared" si="51"/>
        <v>Puerto Cayo</v>
      </c>
      <c r="D646" t="str">
        <f t="shared" si="50"/>
        <v>Puerto Cayo</v>
      </c>
      <c r="E646" t="str">
        <f t="shared" si="52"/>
        <v>EC130658</v>
      </c>
      <c r="F646" t="str">
        <f>_xlfn.XLOOKUP(G646,ecu_admgz_adm2!D:D,ecu_admgz_adm2!C:C)</f>
        <v>Jipijapa</v>
      </c>
      <c r="G646" t="str">
        <f t="shared" si="53"/>
        <v>EC1306</v>
      </c>
      <c r="H646" t="str">
        <f t="shared" si="54"/>
        <v>EC13</v>
      </c>
      <c r="I646" t="str">
        <f>_xlfn.XLOOKUP(H646,eci_admgz_adm1!D:D,eci_admgz_adm1!C:C)</f>
        <v>Manabí</v>
      </c>
      <c r="J646" t="s">
        <v>2021</v>
      </c>
      <c r="K646" s="1" t="s">
        <v>2023</v>
      </c>
    </row>
    <row r="647" spans="1:11" ht="16" x14ac:dyDescent="0.2">
      <c r="A647" t="s">
        <v>1239</v>
      </c>
      <c r="B647" t="s">
        <v>1240</v>
      </c>
      <c r="C647" t="str">
        <f t="shared" si="51"/>
        <v>Junín</v>
      </c>
      <c r="D647" t="str">
        <f t="shared" si="50"/>
        <v>Junín</v>
      </c>
      <c r="E647" t="str">
        <f t="shared" si="52"/>
        <v>EC130750</v>
      </c>
      <c r="F647" t="str">
        <f>_xlfn.XLOOKUP(G647,ecu_admgz_adm2!D:D,ecu_admgz_adm2!C:C)</f>
        <v>Junín</v>
      </c>
      <c r="G647" t="str">
        <f t="shared" si="53"/>
        <v>EC1307</v>
      </c>
      <c r="H647" t="str">
        <f t="shared" si="54"/>
        <v>EC13</v>
      </c>
      <c r="I647" t="str">
        <f>_xlfn.XLOOKUP(H647,eci_admgz_adm1!D:D,eci_admgz_adm1!C:C)</f>
        <v>Manabí</v>
      </c>
      <c r="J647" t="s">
        <v>2021</v>
      </c>
      <c r="K647" s="1" t="s">
        <v>2023</v>
      </c>
    </row>
    <row r="648" spans="1:11" ht="16" x14ac:dyDescent="0.2">
      <c r="A648" t="s">
        <v>1241</v>
      </c>
      <c r="B648" t="s">
        <v>1242</v>
      </c>
      <c r="C648" t="str">
        <f t="shared" si="51"/>
        <v>Manta</v>
      </c>
      <c r="D648" t="str">
        <f t="shared" si="50"/>
        <v>Manta</v>
      </c>
      <c r="E648" t="str">
        <f t="shared" si="52"/>
        <v>EC130850</v>
      </c>
      <c r="F648" t="str">
        <f>_xlfn.XLOOKUP(G648,ecu_admgz_adm2!D:D,ecu_admgz_adm2!C:C)</f>
        <v>Manta</v>
      </c>
      <c r="G648" t="str">
        <f t="shared" si="53"/>
        <v>EC1308</v>
      </c>
      <c r="H648" t="str">
        <f t="shared" si="54"/>
        <v>EC13</v>
      </c>
      <c r="I648" t="str">
        <f>_xlfn.XLOOKUP(H648,eci_admgz_adm1!D:D,eci_admgz_adm1!C:C)</f>
        <v>Manabí</v>
      </c>
      <c r="J648" t="s">
        <v>2021</v>
      </c>
      <c r="K648" s="1" t="s">
        <v>2023</v>
      </c>
    </row>
    <row r="649" spans="1:11" ht="16" x14ac:dyDescent="0.2">
      <c r="A649" t="s">
        <v>1243</v>
      </c>
      <c r="B649" t="s">
        <v>164</v>
      </c>
      <c r="C649" t="str">
        <f t="shared" si="51"/>
        <v>San Lorenzo</v>
      </c>
      <c r="D649" t="str">
        <f t="shared" si="50"/>
        <v>San Lorenzo</v>
      </c>
      <c r="E649" t="str">
        <f t="shared" si="52"/>
        <v>EC130851</v>
      </c>
      <c r="F649" t="str">
        <f>_xlfn.XLOOKUP(G649,ecu_admgz_adm2!D:D,ecu_admgz_adm2!C:C)</f>
        <v>Manta</v>
      </c>
      <c r="G649" t="str">
        <f t="shared" si="53"/>
        <v>EC1308</v>
      </c>
      <c r="H649" t="str">
        <f t="shared" si="54"/>
        <v>EC13</v>
      </c>
      <c r="I649" t="str">
        <f>_xlfn.XLOOKUP(H649,eci_admgz_adm1!D:D,eci_admgz_adm1!C:C)</f>
        <v>Manabí</v>
      </c>
      <c r="J649" t="s">
        <v>2021</v>
      </c>
      <c r="K649" s="1" t="s">
        <v>2023</v>
      </c>
    </row>
    <row r="650" spans="1:11" ht="16" x14ac:dyDescent="0.2">
      <c r="A650" t="s">
        <v>1244</v>
      </c>
      <c r="B650" t="s">
        <v>1245</v>
      </c>
      <c r="C650" t="str">
        <f t="shared" si="51"/>
        <v>Santa Marianita</v>
      </c>
      <c r="D650" t="str">
        <f t="shared" si="50"/>
        <v>Santa Marianita</v>
      </c>
      <c r="E650" t="str">
        <f t="shared" si="52"/>
        <v>EC130852</v>
      </c>
      <c r="F650" t="str">
        <f>_xlfn.XLOOKUP(G650,ecu_admgz_adm2!D:D,ecu_admgz_adm2!C:C)</f>
        <v>Manta</v>
      </c>
      <c r="G650" t="str">
        <f t="shared" si="53"/>
        <v>EC1308</v>
      </c>
      <c r="H650" t="str">
        <f t="shared" si="54"/>
        <v>EC13</v>
      </c>
      <c r="I650" t="str">
        <f>_xlfn.XLOOKUP(H650,eci_admgz_adm1!D:D,eci_admgz_adm1!C:C)</f>
        <v>Manabí</v>
      </c>
      <c r="J650" t="s">
        <v>2021</v>
      </c>
      <c r="K650" s="1" t="s">
        <v>2023</v>
      </c>
    </row>
    <row r="651" spans="1:11" ht="16" x14ac:dyDescent="0.2">
      <c r="A651" t="s">
        <v>1246</v>
      </c>
      <c r="B651" t="s">
        <v>1247</v>
      </c>
      <c r="C651" t="str">
        <f t="shared" si="51"/>
        <v>Montecristi</v>
      </c>
      <c r="D651" t="str">
        <f t="shared" si="50"/>
        <v>Montecristi</v>
      </c>
      <c r="E651" t="str">
        <f t="shared" si="52"/>
        <v>EC130950</v>
      </c>
      <c r="F651" t="str">
        <f>_xlfn.XLOOKUP(G651,ecu_admgz_adm2!D:D,ecu_admgz_adm2!C:C)</f>
        <v>Montecristi</v>
      </c>
      <c r="G651" t="str">
        <f t="shared" si="53"/>
        <v>EC1309</v>
      </c>
      <c r="H651" t="str">
        <f t="shared" si="54"/>
        <v>EC13</v>
      </c>
      <c r="I651" t="str">
        <f>_xlfn.XLOOKUP(H651,eci_admgz_adm1!D:D,eci_admgz_adm1!C:C)</f>
        <v>Manabí</v>
      </c>
      <c r="J651" t="s">
        <v>2021</v>
      </c>
      <c r="K651" s="1" t="s">
        <v>2023</v>
      </c>
    </row>
    <row r="652" spans="1:11" ht="16" x14ac:dyDescent="0.2">
      <c r="A652" t="s">
        <v>1248</v>
      </c>
      <c r="B652" t="s">
        <v>1249</v>
      </c>
      <c r="C652" t="str">
        <f t="shared" si="51"/>
        <v>La Pila</v>
      </c>
      <c r="D652" t="str">
        <f t="shared" si="50"/>
        <v>La Pila</v>
      </c>
      <c r="E652" t="str">
        <f t="shared" si="52"/>
        <v>EC130952</v>
      </c>
      <c r="F652" t="str">
        <f>_xlfn.XLOOKUP(G652,ecu_admgz_adm2!D:D,ecu_admgz_adm2!C:C)</f>
        <v>Montecristi</v>
      </c>
      <c r="G652" t="str">
        <f t="shared" si="53"/>
        <v>EC1309</v>
      </c>
      <c r="H652" t="str">
        <f t="shared" si="54"/>
        <v>EC13</v>
      </c>
      <c r="I652" t="str">
        <f>_xlfn.XLOOKUP(H652,eci_admgz_adm1!D:D,eci_admgz_adm1!C:C)</f>
        <v>Manabí</v>
      </c>
      <c r="J652" t="s">
        <v>2021</v>
      </c>
      <c r="K652" s="1" t="s">
        <v>2023</v>
      </c>
    </row>
    <row r="653" spans="1:11" ht="16" x14ac:dyDescent="0.2">
      <c r="A653" t="s">
        <v>1250</v>
      </c>
      <c r="B653" t="s">
        <v>1251</v>
      </c>
      <c r="C653" t="str">
        <f t="shared" si="51"/>
        <v>Paján</v>
      </c>
      <c r="D653" t="str">
        <f t="shared" si="50"/>
        <v>Paján</v>
      </c>
      <c r="E653" t="str">
        <f t="shared" si="52"/>
        <v>EC131050</v>
      </c>
      <c r="F653" t="str">
        <f>_xlfn.XLOOKUP(G653,ecu_admgz_adm2!D:D,ecu_admgz_adm2!C:C)</f>
        <v>Paján</v>
      </c>
      <c r="G653" t="str">
        <f t="shared" si="53"/>
        <v>EC1310</v>
      </c>
      <c r="H653" t="str">
        <f t="shared" si="54"/>
        <v>EC13</v>
      </c>
      <c r="I653" t="str">
        <f>_xlfn.XLOOKUP(H653,eci_admgz_adm1!D:D,eci_admgz_adm1!C:C)</f>
        <v>Manabí</v>
      </c>
      <c r="J653" t="s">
        <v>2021</v>
      </c>
      <c r="K653" s="1" t="s">
        <v>2023</v>
      </c>
    </row>
    <row r="654" spans="1:11" ht="16" x14ac:dyDescent="0.2">
      <c r="A654" t="s">
        <v>1252</v>
      </c>
      <c r="B654" t="s">
        <v>1253</v>
      </c>
      <c r="C654" t="str">
        <f t="shared" si="51"/>
        <v>Campozano</v>
      </c>
      <c r="D654" t="str">
        <f t="shared" si="50"/>
        <v>Campozano</v>
      </c>
      <c r="E654" t="str">
        <f t="shared" si="52"/>
        <v>EC131051</v>
      </c>
      <c r="F654" t="str">
        <f>_xlfn.XLOOKUP(G654,ecu_admgz_adm2!D:D,ecu_admgz_adm2!C:C)</f>
        <v>Paján</v>
      </c>
      <c r="G654" t="str">
        <f t="shared" si="53"/>
        <v>EC1310</v>
      </c>
      <c r="H654" t="str">
        <f t="shared" si="54"/>
        <v>EC13</v>
      </c>
      <c r="I654" t="str">
        <f>_xlfn.XLOOKUP(H654,eci_admgz_adm1!D:D,eci_admgz_adm1!C:C)</f>
        <v>Manabí</v>
      </c>
      <c r="J654" t="s">
        <v>2021</v>
      </c>
      <c r="K654" s="1" t="s">
        <v>2023</v>
      </c>
    </row>
    <row r="655" spans="1:11" ht="16" x14ac:dyDescent="0.2">
      <c r="A655" t="s">
        <v>1254</v>
      </c>
      <c r="B655" t="s">
        <v>1255</v>
      </c>
      <c r="C655" t="str">
        <f t="shared" si="51"/>
        <v>Cascol</v>
      </c>
      <c r="D655" t="str">
        <f t="shared" si="50"/>
        <v>Cascol</v>
      </c>
      <c r="E655" t="str">
        <f t="shared" si="52"/>
        <v>EC131052</v>
      </c>
      <c r="F655" t="str">
        <f>_xlfn.XLOOKUP(G655,ecu_admgz_adm2!D:D,ecu_admgz_adm2!C:C)</f>
        <v>Paján</v>
      </c>
      <c r="G655" t="str">
        <f t="shared" si="53"/>
        <v>EC1310</v>
      </c>
      <c r="H655" t="str">
        <f t="shared" si="54"/>
        <v>EC13</v>
      </c>
      <c r="I655" t="str">
        <f>_xlfn.XLOOKUP(H655,eci_admgz_adm1!D:D,eci_admgz_adm1!C:C)</f>
        <v>Manabí</v>
      </c>
      <c r="J655" t="s">
        <v>2021</v>
      </c>
      <c r="K655" s="1" t="s">
        <v>2023</v>
      </c>
    </row>
    <row r="656" spans="1:11" ht="16" x14ac:dyDescent="0.2">
      <c r="A656" t="s">
        <v>1256</v>
      </c>
      <c r="B656" t="s">
        <v>1257</v>
      </c>
      <c r="C656" t="str">
        <f t="shared" si="51"/>
        <v>Guale</v>
      </c>
      <c r="D656" t="str">
        <f t="shared" si="50"/>
        <v>Guale</v>
      </c>
      <c r="E656" t="str">
        <f t="shared" si="52"/>
        <v>EC131053</v>
      </c>
      <c r="F656" t="str">
        <f>_xlfn.XLOOKUP(G656,ecu_admgz_adm2!D:D,ecu_admgz_adm2!C:C)</f>
        <v>Paján</v>
      </c>
      <c r="G656" t="str">
        <f t="shared" si="53"/>
        <v>EC1310</v>
      </c>
      <c r="H656" t="str">
        <f t="shared" si="54"/>
        <v>EC13</v>
      </c>
      <c r="I656" t="str">
        <f>_xlfn.XLOOKUP(H656,eci_admgz_adm1!D:D,eci_admgz_adm1!C:C)</f>
        <v>Manabí</v>
      </c>
      <c r="J656" t="s">
        <v>2021</v>
      </c>
      <c r="K656" s="1" t="s">
        <v>2023</v>
      </c>
    </row>
    <row r="657" spans="1:11" ht="16" x14ac:dyDescent="0.2">
      <c r="A657" t="s">
        <v>1258</v>
      </c>
      <c r="B657" t="s">
        <v>1259</v>
      </c>
      <c r="C657" t="str">
        <f t="shared" si="51"/>
        <v>Lascano</v>
      </c>
      <c r="D657" t="str">
        <f t="shared" si="50"/>
        <v>Lascano</v>
      </c>
      <c r="E657" t="str">
        <f t="shared" si="52"/>
        <v>EC131054</v>
      </c>
      <c r="F657" t="str">
        <f>_xlfn.XLOOKUP(G657,ecu_admgz_adm2!D:D,ecu_admgz_adm2!C:C)</f>
        <v>Paján</v>
      </c>
      <c r="G657" t="str">
        <f t="shared" si="53"/>
        <v>EC1310</v>
      </c>
      <c r="H657" t="str">
        <f t="shared" si="54"/>
        <v>EC13</v>
      </c>
      <c r="I657" t="str">
        <f>_xlfn.XLOOKUP(H657,eci_admgz_adm1!D:D,eci_admgz_adm1!C:C)</f>
        <v>Manabí</v>
      </c>
      <c r="J657" t="s">
        <v>2021</v>
      </c>
      <c r="K657" s="1" t="s">
        <v>2023</v>
      </c>
    </row>
    <row r="658" spans="1:11" ht="16" x14ac:dyDescent="0.2">
      <c r="A658" t="s">
        <v>1260</v>
      </c>
      <c r="B658" t="s">
        <v>1261</v>
      </c>
      <c r="C658" t="str">
        <f t="shared" si="51"/>
        <v>Pichincha</v>
      </c>
      <c r="D658" t="str">
        <f t="shared" si="50"/>
        <v>Pichincha</v>
      </c>
      <c r="E658" t="str">
        <f t="shared" si="52"/>
        <v>EC131150</v>
      </c>
      <c r="F658" t="str">
        <f>_xlfn.XLOOKUP(G658,ecu_admgz_adm2!D:D,ecu_admgz_adm2!C:C)</f>
        <v>Pichincha</v>
      </c>
      <c r="G658" t="str">
        <f t="shared" si="53"/>
        <v>EC1311</v>
      </c>
      <c r="H658" t="str">
        <f t="shared" si="54"/>
        <v>EC13</v>
      </c>
      <c r="I658" t="str">
        <f>_xlfn.XLOOKUP(H658,eci_admgz_adm1!D:D,eci_admgz_adm1!C:C)</f>
        <v>Manabí</v>
      </c>
      <c r="J658" t="s">
        <v>2021</v>
      </c>
      <c r="K658" s="1" t="s">
        <v>2023</v>
      </c>
    </row>
    <row r="659" spans="1:11" ht="16" x14ac:dyDescent="0.2">
      <c r="A659" t="s">
        <v>1262</v>
      </c>
      <c r="B659" t="s">
        <v>1263</v>
      </c>
      <c r="C659" t="str">
        <f t="shared" si="51"/>
        <v>Barraganete</v>
      </c>
      <c r="D659" t="str">
        <f t="shared" si="50"/>
        <v>Barraganete</v>
      </c>
      <c r="E659" t="str">
        <f t="shared" si="52"/>
        <v>EC131151</v>
      </c>
      <c r="F659" t="str">
        <f>_xlfn.XLOOKUP(G659,ecu_admgz_adm2!D:D,ecu_admgz_adm2!C:C)</f>
        <v>Pichincha</v>
      </c>
      <c r="G659" t="str">
        <f t="shared" si="53"/>
        <v>EC1311</v>
      </c>
      <c r="H659" t="str">
        <f t="shared" si="54"/>
        <v>EC13</v>
      </c>
      <c r="I659" t="str">
        <f>_xlfn.XLOOKUP(H659,eci_admgz_adm1!D:D,eci_admgz_adm1!C:C)</f>
        <v>Manabí</v>
      </c>
      <c r="J659" t="s">
        <v>2021</v>
      </c>
      <c r="K659" s="1" t="s">
        <v>2023</v>
      </c>
    </row>
    <row r="660" spans="1:11" ht="16" x14ac:dyDescent="0.2">
      <c r="A660" t="s">
        <v>1264</v>
      </c>
      <c r="B660" t="s">
        <v>184</v>
      </c>
      <c r="C660" t="str">
        <f t="shared" si="51"/>
        <v>San Sebastián</v>
      </c>
      <c r="D660" t="str">
        <f t="shared" si="50"/>
        <v>San Sebastián</v>
      </c>
      <c r="E660" t="str">
        <f t="shared" si="52"/>
        <v>EC131152</v>
      </c>
      <c r="F660" t="str">
        <f>_xlfn.XLOOKUP(G660,ecu_admgz_adm2!D:D,ecu_admgz_adm2!C:C)</f>
        <v>Pichincha</v>
      </c>
      <c r="G660" t="str">
        <f t="shared" si="53"/>
        <v>EC1311</v>
      </c>
      <c r="H660" t="str">
        <f t="shared" si="54"/>
        <v>EC13</v>
      </c>
      <c r="I660" t="str">
        <f>_xlfn.XLOOKUP(H660,eci_admgz_adm1!D:D,eci_admgz_adm1!C:C)</f>
        <v>Manabí</v>
      </c>
      <c r="J660" t="s">
        <v>2021</v>
      </c>
      <c r="K660" s="1" t="s">
        <v>2023</v>
      </c>
    </row>
    <row r="661" spans="1:11" ht="16" x14ac:dyDescent="0.2">
      <c r="A661" t="s">
        <v>1265</v>
      </c>
      <c r="B661" t="s">
        <v>764</v>
      </c>
      <c r="C661" t="str">
        <f t="shared" si="51"/>
        <v>Rocafuerte</v>
      </c>
      <c r="D661" t="str">
        <f t="shared" si="50"/>
        <v>Rocafuerte</v>
      </c>
      <c r="E661" t="str">
        <f t="shared" si="52"/>
        <v>EC131250</v>
      </c>
      <c r="F661" t="str">
        <f>_xlfn.XLOOKUP(G661,ecu_admgz_adm2!D:D,ecu_admgz_adm2!C:C)</f>
        <v>Rocafuerte</v>
      </c>
      <c r="G661" t="str">
        <f t="shared" si="53"/>
        <v>EC1312</v>
      </c>
      <c r="H661" t="str">
        <f t="shared" si="54"/>
        <v>EC13</v>
      </c>
      <c r="I661" t="str">
        <f>_xlfn.XLOOKUP(H661,eci_admgz_adm1!D:D,eci_admgz_adm1!C:C)</f>
        <v>Manabí</v>
      </c>
      <c r="J661" t="s">
        <v>2021</v>
      </c>
      <c r="K661" s="1" t="s">
        <v>2023</v>
      </c>
    </row>
    <row r="662" spans="1:11" ht="16" x14ac:dyDescent="0.2">
      <c r="A662" t="s">
        <v>1266</v>
      </c>
      <c r="B662" t="s">
        <v>1267</v>
      </c>
      <c r="C662" t="str">
        <f t="shared" si="51"/>
        <v>Santa Ana De Vuelta Larga</v>
      </c>
      <c r="D662" t="str">
        <f t="shared" si="50"/>
        <v>Santa Ana de Vuelta Larga</v>
      </c>
      <c r="E662" t="str">
        <f t="shared" si="52"/>
        <v>EC131350</v>
      </c>
      <c r="F662" t="str">
        <f>_xlfn.XLOOKUP(G662,ecu_admgz_adm2!D:D,ecu_admgz_adm2!C:C)</f>
        <v>Santa Ana</v>
      </c>
      <c r="G662" t="str">
        <f t="shared" si="53"/>
        <v>EC1313</v>
      </c>
      <c r="H662" t="str">
        <f t="shared" si="54"/>
        <v>EC13</v>
      </c>
      <c r="I662" t="str">
        <f>_xlfn.XLOOKUP(H662,eci_admgz_adm1!D:D,eci_admgz_adm1!C:C)</f>
        <v>Manabí</v>
      </c>
      <c r="J662" t="s">
        <v>2021</v>
      </c>
      <c r="K662" s="1" t="s">
        <v>2023</v>
      </c>
    </row>
    <row r="663" spans="1:11" ht="16" x14ac:dyDescent="0.2">
      <c r="A663" t="s">
        <v>1268</v>
      </c>
      <c r="B663" t="s">
        <v>1269</v>
      </c>
      <c r="C663" t="str">
        <f t="shared" si="51"/>
        <v>Ayacucho</v>
      </c>
      <c r="D663" t="str">
        <f t="shared" si="50"/>
        <v>Ayacucho</v>
      </c>
      <c r="E663" t="str">
        <f t="shared" si="52"/>
        <v>EC131351</v>
      </c>
      <c r="F663" t="str">
        <f>_xlfn.XLOOKUP(G663,ecu_admgz_adm2!D:D,ecu_admgz_adm2!C:C)</f>
        <v>Santa Ana</v>
      </c>
      <c r="G663" t="str">
        <f t="shared" si="53"/>
        <v>EC1313</v>
      </c>
      <c r="H663" t="str">
        <f t="shared" si="54"/>
        <v>EC13</v>
      </c>
      <c r="I663" t="str">
        <f>_xlfn.XLOOKUP(H663,eci_admgz_adm1!D:D,eci_admgz_adm1!C:C)</f>
        <v>Manabí</v>
      </c>
      <c r="J663" t="s">
        <v>2021</v>
      </c>
      <c r="K663" s="1" t="s">
        <v>2023</v>
      </c>
    </row>
    <row r="664" spans="1:11" ht="16" x14ac:dyDescent="0.2">
      <c r="A664" t="s">
        <v>1270</v>
      </c>
      <c r="B664" t="s">
        <v>244</v>
      </c>
      <c r="C664" t="str">
        <f t="shared" si="51"/>
        <v>Honorato Vásquez</v>
      </c>
      <c r="D664" t="str">
        <f t="shared" si="50"/>
        <v>Honorato Vásquez</v>
      </c>
      <c r="E664" t="str">
        <f t="shared" si="52"/>
        <v>EC131352</v>
      </c>
      <c r="F664" t="str">
        <f>_xlfn.XLOOKUP(G664,ecu_admgz_adm2!D:D,ecu_admgz_adm2!C:C)</f>
        <v>Santa Ana</v>
      </c>
      <c r="G664" t="str">
        <f t="shared" si="53"/>
        <v>EC1313</v>
      </c>
      <c r="H664" t="str">
        <f t="shared" si="54"/>
        <v>EC13</v>
      </c>
      <c r="I664" t="str">
        <f>_xlfn.XLOOKUP(H664,eci_admgz_adm1!D:D,eci_admgz_adm1!C:C)</f>
        <v>Manabí</v>
      </c>
      <c r="J664" t="s">
        <v>2021</v>
      </c>
      <c r="K664" s="1" t="s">
        <v>2023</v>
      </c>
    </row>
    <row r="665" spans="1:11" ht="16" x14ac:dyDescent="0.2">
      <c r="A665" t="s">
        <v>1271</v>
      </c>
      <c r="B665" t="s">
        <v>135</v>
      </c>
      <c r="C665" t="str">
        <f t="shared" si="51"/>
        <v>La Unión</v>
      </c>
      <c r="D665" t="str">
        <f t="shared" si="50"/>
        <v>La Unión</v>
      </c>
      <c r="E665" t="str">
        <f t="shared" si="52"/>
        <v>EC131353</v>
      </c>
      <c r="F665" t="str">
        <f>_xlfn.XLOOKUP(G665,ecu_admgz_adm2!D:D,ecu_admgz_adm2!C:C)</f>
        <v>Santa Ana</v>
      </c>
      <c r="G665" t="str">
        <f t="shared" si="53"/>
        <v>EC1313</v>
      </c>
      <c r="H665" t="str">
        <f t="shared" si="54"/>
        <v>EC13</v>
      </c>
      <c r="I665" t="str">
        <f>_xlfn.XLOOKUP(H665,eci_admgz_adm1!D:D,eci_admgz_adm1!C:C)</f>
        <v>Manabí</v>
      </c>
      <c r="J665" t="s">
        <v>2021</v>
      </c>
      <c r="K665" s="1" t="s">
        <v>2023</v>
      </c>
    </row>
    <row r="666" spans="1:11" ht="16" x14ac:dyDescent="0.2">
      <c r="A666" t="s">
        <v>1272</v>
      </c>
      <c r="B666" t="s">
        <v>198</v>
      </c>
      <c r="C666" t="str">
        <f t="shared" si="51"/>
        <v>San Pablo</v>
      </c>
      <c r="D666" t="str">
        <f t="shared" si="50"/>
        <v>San Pablo</v>
      </c>
      <c r="E666" t="str">
        <f t="shared" si="52"/>
        <v>EC131355</v>
      </c>
      <c r="F666" t="str">
        <f>_xlfn.XLOOKUP(G666,ecu_admgz_adm2!D:D,ecu_admgz_adm2!C:C)</f>
        <v>Santa Ana</v>
      </c>
      <c r="G666" t="str">
        <f t="shared" si="53"/>
        <v>EC1313</v>
      </c>
      <c r="H666" t="str">
        <f t="shared" si="54"/>
        <v>EC13</v>
      </c>
      <c r="I666" t="str">
        <f>_xlfn.XLOOKUP(H666,eci_admgz_adm1!D:D,eci_admgz_adm1!C:C)</f>
        <v>Manabí</v>
      </c>
      <c r="J666" t="s">
        <v>2021</v>
      </c>
      <c r="K666" s="1" t="s">
        <v>2023</v>
      </c>
    </row>
    <row r="667" spans="1:11" ht="16" x14ac:dyDescent="0.2">
      <c r="A667" t="s">
        <v>1273</v>
      </c>
      <c r="B667" t="s">
        <v>1274</v>
      </c>
      <c r="C667" t="str">
        <f t="shared" si="51"/>
        <v>Bahia De Caráquez</v>
      </c>
      <c r="D667" t="str">
        <f t="shared" si="50"/>
        <v>Bahia de Caráquez</v>
      </c>
      <c r="E667" t="str">
        <f t="shared" si="52"/>
        <v>EC131450</v>
      </c>
      <c r="F667" t="str">
        <f>_xlfn.XLOOKUP(G667,ecu_admgz_adm2!D:D,ecu_admgz_adm2!C:C)</f>
        <v>Sucre</v>
      </c>
      <c r="G667" t="str">
        <f t="shared" si="53"/>
        <v>EC1314</v>
      </c>
      <c r="H667" t="str">
        <f t="shared" si="54"/>
        <v>EC13</v>
      </c>
      <c r="I667" t="str">
        <f>_xlfn.XLOOKUP(H667,eci_admgz_adm1!D:D,eci_admgz_adm1!C:C)</f>
        <v>Manabí</v>
      </c>
      <c r="J667" t="s">
        <v>2021</v>
      </c>
      <c r="K667" s="1" t="s">
        <v>2023</v>
      </c>
    </row>
    <row r="668" spans="1:11" ht="16" x14ac:dyDescent="0.2">
      <c r="A668" t="s">
        <v>1276</v>
      </c>
      <c r="B668" t="s">
        <v>1277</v>
      </c>
      <c r="C668" t="str">
        <f t="shared" si="51"/>
        <v>Charapotó</v>
      </c>
      <c r="D668" t="str">
        <f t="shared" si="50"/>
        <v>Charapotó</v>
      </c>
      <c r="E668" t="str">
        <f t="shared" si="52"/>
        <v>EC131453</v>
      </c>
      <c r="F668" t="str">
        <f>_xlfn.XLOOKUP(G668,ecu_admgz_adm2!D:D,ecu_admgz_adm2!C:C)</f>
        <v>Sucre</v>
      </c>
      <c r="G668" t="str">
        <f t="shared" si="53"/>
        <v>EC1314</v>
      </c>
      <c r="H668" t="str">
        <f t="shared" si="54"/>
        <v>EC13</v>
      </c>
      <c r="I668" t="str">
        <f>_xlfn.XLOOKUP(H668,eci_admgz_adm1!D:D,eci_admgz_adm1!C:C)</f>
        <v>Manabí</v>
      </c>
      <c r="J668" t="s">
        <v>2021</v>
      </c>
      <c r="K668" s="1" t="s">
        <v>2023</v>
      </c>
    </row>
    <row r="669" spans="1:11" ht="16" x14ac:dyDescent="0.2">
      <c r="A669" t="s">
        <v>1278</v>
      </c>
      <c r="B669" t="s">
        <v>309</v>
      </c>
      <c r="C669" t="str">
        <f t="shared" si="51"/>
        <v>San Isidro</v>
      </c>
      <c r="D669" t="str">
        <f t="shared" si="50"/>
        <v>San Isidro</v>
      </c>
      <c r="E669" t="str">
        <f t="shared" si="52"/>
        <v>EC131457</v>
      </c>
      <c r="F669" t="str">
        <f>_xlfn.XLOOKUP(G669,ecu_admgz_adm2!D:D,ecu_admgz_adm2!C:C)</f>
        <v>Sucre</v>
      </c>
      <c r="G669" t="str">
        <f t="shared" si="53"/>
        <v>EC1314</v>
      </c>
      <c r="H669" t="str">
        <f t="shared" si="54"/>
        <v>EC13</v>
      </c>
      <c r="I669" t="str">
        <f>_xlfn.XLOOKUP(H669,eci_admgz_adm1!D:D,eci_admgz_adm1!C:C)</f>
        <v>Manabí</v>
      </c>
      <c r="J669" t="s">
        <v>2021</v>
      </c>
      <c r="K669" s="1" t="s">
        <v>2023</v>
      </c>
    </row>
    <row r="670" spans="1:11" ht="16" x14ac:dyDescent="0.2">
      <c r="A670" t="s">
        <v>1279</v>
      </c>
      <c r="B670" t="s">
        <v>1280</v>
      </c>
      <c r="C670" t="str">
        <f t="shared" si="51"/>
        <v>Tosagua</v>
      </c>
      <c r="D670" t="str">
        <f t="shared" si="50"/>
        <v>Tosagua</v>
      </c>
      <c r="E670" t="str">
        <f t="shared" si="52"/>
        <v>EC131550</v>
      </c>
      <c r="F670" t="str">
        <f>_xlfn.XLOOKUP(G670,ecu_admgz_adm2!D:D,ecu_admgz_adm2!C:C)</f>
        <v>Tosagua</v>
      </c>
      <c r="G670" t="str">
        <f t="shared" si="53"/>
        <v>EC1315</v>
      </c>
      <c r="H670" t="str">
        <f t="shared" si="54"/>
        <v>EC13</v>
      </c>
      <c r="I670" t="str">
        <f>_xlfn.XLOOKUP(H670,eci_admgz_adm1!D:D,eci_admgz_adm1!C:C)</f>
        <v>Manabí</v>
      </c>
      <c r="J670" t="s">
        <v>2021</v>
      </c>
      <c r="K670" s="1" t="s">
        <v>2023</v>
      </c>
    </row>
    <row r="671" spans="1:11" ht="16" x14ac:dyDescent="0.2">
      <c r="A671" t="s">
        <v>1281</v>
      </c>
      <c r="B671" t="s">
        <v>1282</v>
      </c>
      <c r="C671" t="str">
        <f t="shared" si="51"/>
        <v>Bachillero</v>
      </c>
      <c r="D671" t="str">
        <f t="shared" si="50"/>
        <v>Bachillero</v>
      </c>
      <c r="E671" t="str">
        <f t="shared" si="52"/>
        <v>EC131551</v>
      </c>
      <c r="F671" t="str">
        <f>_xlfn.XLOOKUP(G671,ecu_admgz_adm2!D:D,ecu_admgz_adm2!C:C)</f>
        <v>Tosagua</v>
      </c>
      <c r="G671" t="str">
        <f t="shared" si="53"/>
        <v>EC1315</v>
      </c>
      <c r="H671" t="str">
        <f t="shared" si="54"/>
        <v>EC13</v>
      </c>
      <c r="I671" t="str">
        <f>_xlfn.XLOOKUP(H671,eci_admgz_adm1!D:D,eci_admgz_adm1!C:C)</f>
        <v>Manabí</v>
      </c>
      <c r="J671" t="s">
        <v>2021</v>
      </c>
      <c r="K671" s="1" t="s">
        <v>2023</v>
      </c>
    </row>
    <row r="672" spans="1:11" ht="16" x14ac:dyDescent="0.2">
      <c r="A672" t="s">
        <v>1283</v>
      </c>
      <c r="B672" t="s">
        <v>1284</v>
      </c>
      <c r="C672" t="str">
        <f t="shared" si="51"/>
        <v>Ángel Pedro Giler</v>
      </c>
      <c r="D672" t="str">
        <f t="shared" si="50"/>
        <v>Ángel Pedro Giler</v>
      </c>
      <c r="E672" t="str">
        <f t="shared" si="52"/>
        <v>EC131552</v>
      </c>
      <c r="F672" t="str">
        <f>_xlfn.XLOOKUP(G672,ecu_admgz_adm2!D:D,ecu_admgz_adm2!C:C)</f>
        <v>Tosagua</v>
      </c>
      <c r="G672" t="str">
        <f t="shared" si="53"/>
        <v>EC1315</v>
      </c>
      <c r="H672" t="str">
        <f t="shared" si="54"/>
        <v>EC13</v>
      </c>
      <c r="I672" t="str">
        <f>_xlfn.XLOOKUP(H672,eci_admgz_adm1!D:D,eci_admgz_adm1!C:C)</f>
        <v>Manabí</v>
      </c>
      <c r="J672" t="s">
        <v>2021</v>
      </c>
      <c r="K672" s="1" t="s">
        <v>2023</v>
      </c>
    </row>
    <row r="673" spans="1:11" ht="16" x14ac:dyDescent="0.2">
      <c r="A673" t="s">
        <v>1285</v>
      </c>
      <c r="B673" t="s">
        <v>1275</v>
      </c>
      <c r="C673" t="str">
        <f t="shared" si="51"/>
        <v>Sucre</v>
      </c>
      <c r="D673" t="str">
        <f t="shared" si="50"/>
        <v>Sucre</v>
      </c>
      <c r="E673" t="str">
        <f t="shared" si="52"/>
        <v>EC131650</v>
      </c>
      <c r="F673" t="str">
        <f>_xlfn.XLOOKUP(G673,ecu_admgz_adm2!D:D,ecu_admgz_adm2!C:C)</f>
        <v>24 de Mayo</v>
      </c>
      <c r="G673" t="str">
        <f t="shared" si="53"/>
        <v>EC1316</v>
      </c>
      <c r="H673" t="str">
        <f t="shared" si="54"/>
        <v>EC13</v>
      </c>
      <c r="I673" t="str">
        <f>_xlfn.XLOOKUP(H673,eci_admgz_adm1!D:D,eci_admgz_adm1!C:C)</f>
        <v>Manabí</v>
      </c>
      <c r="J673" t="s">
        <v>2021</v>
      </c>
      <c r="K673" s="1" t="s">
        <v>2023</v>
      </c>
    </row>
    <row r="674" spans="1:11" ht="16" x14ac:dyDescent="0.2">
      <c r="A674" t="s">
        <v>1286</v>
      </c>
      <c r="B674" t="s">
        <v>608</v>
      </c>
      <c r="C674" t="str">
        <f t="shared" si="51"/>
        <v>Bellavista</v>
      </c>
      <c r="D674" t="str">
        <f t="shared" si="50"/>
        <v>Bellavista</v>
      </c>
      <c r="E674" t="str">
        <f t="shared" si="52"/>
        <v>EC131651</v>
      </c>
      <c r="F674" t="str">
        <f>_xlfn.XLOOKUP(G674,ecu_admgz_adm2!D:D,ecu_admgz_adm2!C:C)</f>
        <v>24 de Mayo</v>
      </c>
      <c r="G674" t="str">
        <f t="shared" si="53"/>
        <v>EC1316</v>
      </c>
      <c r="H674" t="str">
        <f t="shared" si="54"/>
        <v>EC13</v>
      </c>
      <c r="I674" t="str">
        <f>_xlfn.XLOOKUP(H674,eci_admgz_adm1!D:D,eci_admgz_adm1!C:C)</f>
        <v>Manabí</v>
      </c>
      <c r="J674" t="s">
        <v>2021</v>
      </c>
      <c r="K674" s="1" t="s">
        <v>2023</v>
      </c>
    </row>
    <row r="675" spans="1:11" ht="16" x14ac:dyDescent="0.2">
      <c r="A675" t="s">
        <v>1287</v>
      </c>
      <c r="B675" t="s">
        <v>1288</v>
      </c>
      <c r="C675" t="str">
        <f t="shared" si="51"/>
        <v>Noboa</v>
      </c>
      <c r="D675" t="str">
        <f t="shared" si="50"/>
        <v>Noboa</v>
      </c>
      <c r="E675" t="str">
        <f t="shared" si="52"/>
        <v>EC131652</v>
      </c>
      <c r="F675" t="str">
        <f>_xlfn.XLOOKUP(G675,ecu_admgz_adm2!D:D,ecu_admgz_adm2!C:C)</f>
        <v>24 de Mayo</v>
      </c>
      <c r="G675" t="str">
        <f t="shared" si="53"/>
        <v>EC1316</v>
      </c>
      <c r="H675" t="str">
        <f t="shared" si="54"/>
        <v>EC13</v>
      </c>
      <c r="I675" t="str">
        <f>_xlfn.XLOOKUP(H675,eci_admgz_adm1!D:D,eci_admgz_adm1!C:C)</f>
        <v>Manabí</v>
      </c>
      <c r="J675" t="s">
        <v>2021</v>
      </c>
      <c r="K675" s="1" t="s">
        <v>2023</v>
      </c>
    </row>
    <row r="676" spans="1:11" ht="16" x14ac:dyDescent="0.2">
      <c r="A676" t="s">
        <v>1289</v>
      </c>
      <c r="B676" t="s">
        <v>1290</v>
      </c>
      <c r="C676" t="str">
        <f t="shared" si="51"/>
        <v>Arquitecto Sixto Durán Ballén</v>
      </c>
      <c r="D676" t="str">
        <f t="shared" si="50"/>
        <v>Arquitecto Sixto Durán Ballén</v>
      </c>
      <c r="E676" t="str">
        <f t="shared" si="52"/>
        <v>EC131653</v>
      </c>
      <c r="F676" t="str">
        <f>_xlfn.XLOOKUP(G676,ecu_admgz_adm2!D:D,ecu_admgz_adm2!C:C)</f>
        <v>24 de Mayo</v>
      </c>
      <c r="G676" t="str">
        <f t="shared" si="53"/>
        <v>EC1316</v>
      </c>
      <c r="H676" t="str">
        <f t="shared" si="54"/>
        <v>EC13</v>
      </c>
      <c r="I676" t="str">
        <f>_xlfn.XLOOKUP(H676,eci_admgz_adm1!D:D,eci_admgz_adm1!C:C)</f>
        <v>Manabí</v>
      </c>
      <c r="J676" t="s">
        <v>2021</v>
      </c>
      <c r="K676" s="1" t="s">
        <v>2023</v>
      </c>
    </row>
    <row r="677" spans="1:11" ht="16" x14ac:dyDescent="0.2">
      <c r="A677" t="s">
        <v>1291</v>
      </c>
      <c r="B677" t="s">
        <v>1292</v>
      </c>
      <c r="C677" t="str">
        <f t="shared" si="51"/>
        <v>Pedernales</v>
      </c>
      <c r="D677" t="str">
        <f t="shared" si="50"/>
        <v>Pedernales</v>
      </c>
      <c r="E677" t="str">
        <f t="shared" si="52"/>
        <v>EC131750</v>
      </c>
      <c r="F677" t="str">
        <f>_xlfn.XLOOKUP(G677,ecu_admgz_adm2!D:D,ecu_admgz_adm2!C:C)</f>
        <v>Pedernales</v>
      </c>
      <c r="G677" t="str">
        <f t="shared" si="53"/>
        <v>EC1317</v>
      </c>
      <c r="H677" t="str">
        <f t="shared" si="54"/>
        <v>EC13</v>
      </c>
      <c r="I677" t="str">
        <f>_xlfn.XLOOKUP(H677,eci_admgz_adm1!D:D,eci_admgz_adm1!C:C)</f>
        <v>Manabí</v>
      </c>
      <c r="J677" t="s">
        <v>2021</v>
      </c>
      <c r="K677" s="1" t="s">
        <v>2023</v>
      </c>
    </row>
    <row r="678" spans="1:11" ht="16" x14ac:dyDescent="0.2">
      <c r="A678" t="s">
        <v>1293</v>
      </c>
      <c r="B678" t="s">
        <v>1294</v>
      </c>
      <c r="C678" t="str">
        <f t="shared" si="51"/>
        <v>Cojimíes</v>
      </c>
      <c r="D678" t="str">
        <f t="shared" si="50"/>
        <v>Cojimíes</v>
      </c>
      <c r="E678" t="str">
        <f t="shared" si="52"/>
        <v>EC131751</v>
      </c>
      <c r="F678" t="str">
        <f>_xlfn.XLOOKUP(G678,ecu_admgz_adm2!D:D,ecu_admgz_adm2!C:C)</f>
        <v>Pedernales</v>
      </c>
      <c r="G678" t="str">
        <f t="shared" si="53"/>
        <v>EC1317</v>
      </c>
      <c r="H678" t="str">
        <f t="shared" si="54"/>
        <v>EC13</v>
      </c>
      <c r="I678" t="str">
        <f>_xlfn.XLOOKUP(H678,eci_admgz_adm1!D:D,eci_admgz_adm1!C:C)</f>
        <v>Manabí</v>
      </c>
      <c r="J678" t="s">
        <v>2021</v>
      </c>
      <c r="K678" s="1" t="s">
        <v>2023</v>
      </c>
    </row>
    <row r="679" spans="1:11" ht="16" x14ac:dyDescent="0.2">
      <c r="A679" t="s">
        <v>1295</v>
      </c>
      <c r="B679" t="s">
        <v>1296</v>
      </c>
      <c r="C679" t="str">
        <f t="shared" si="51"/>
        <v>Diez De Agosto</v>
      </c>
      <c r="D679" t="str">
        <f t="shared" si="50"/>
        <v>Diez de Agosto</v>
      </c>
      <c r="E679" t="str">
        <f t="shared" si="52"/>
        <v>EC131752</v>
      </c>
      <c r="F679" t="str">
        <f>_xlfn.XLOOKUP(G679,ecu_admgz_adm2!D:D,ecu_admgz_adm2!C:C)</f>
        <v>Pedernales</v>
      </c>
      <c r="G679" t="str">
        <f t="shared" si="53"/>
        <v>EC1317</v>
      </c>
      <c r="H679" t="str">
        <f t="shared" si="54"/>
        <v>EC13</v>
      </c>
      <c r="I679" t="str">
        <f>_xlfn.XLOOKUP(H679,eci_admgz_adm1!D:D,eci_admgz_adm1!C:C)</f>
        <v>Manabí</v>
      </c>
      <c r="J679" t="s">
        <v>2021</v>
      </c>
      <c r="K679" s="1" t="s">
        <v>2023</v>
      </c>
    </row>
    <row r="680" spans="1:11" ht="16" x14ac:dyDescent="0.2">
      <c r="A680" t="s">
        <v>1297</v>
      </c>
      <c r="B680" t="s">
        <v>536</v>
      </c>
      <c r="C680" t="str">
        <f t="shared" si="51"/>
        <v>Atahualpa</v>
      </c>
      <c r="D680" t="str">
        <f t="shared" si="50"/>
        <v>Atahualpa</v>
      </c>
      <c r="E680" t="str">
        <f t="shared" si="52"/>
        <v>EC131753</v>
      </c>
      <c r="F680" t="str">
        <f>_xlfn.XLOOKUP(G680,ecu_admgz_adm2!D:D,ecu_admgz_adm2!C:C)</f>
        <v>Pedernales</v>
      </c>
      <c r="G680" t="str">
        <f t="shared" si="53"/>
        <v>EC1317</v>
      </c>
      <c r="H680" t="str">
        <f t="shared" si="54"/>
        <v>EC13</v>
      </c>
      <c r="I680" t="str">
        <f>_xlfn.XLOOKUP(H680,eci_admgz_adm1!D:D,eci_admgz_adm1!C:C)</f>
        <v>Manabí</v>
      </c>
      <c r="J680" t="s">
        <v>2021</v>
      </c>
      <c r="K680" s="1" t="s">
        <v>2023</v>
      </c>
    </row>
    <row r="681" spans="1:11" ht="16" x14ac:dyDescent="0.2">
      <c r="A681" t="s">
        <v>1298</v>
      </c>
      <c r="B681" t="s">
        <v>1118</v>
      </c>
      <c r="C681" t="str">
        <f t="shared" si="51"/>
        <v>Olmedo</v>
      </c>
      <c r="D681" t="str">
        <f t="shared" si="50"/>
        <v>Olmedo</v>
      </c>
      <c r="E681" t="str">
        <f t="shared" si="52"/>
        <v>EC131850</v>
      </c>
      <c r="F681" t="str">
        <f>_xlfn.XLOOKUP(G681,ecu_admgz_adm2!D:D,ecu_admgz_adm2!C:C)</f>
        <v>Olmedo</v>
      </c>
      <c r="G681" t="str">
        <f t="shared" si="53"/>
        <v>EC1318</v>
      </c>
      <c r="H681" t="str">
        <f t="shared" si="54"/>
        <v>EC13</v>
      </c>
      <c r="I681" t="str">
        <f>_xlfn.XLOOKUP(H681,eci_admgz_adm1!D:D,eci_admgz_adm1!C:C)</f>
        <v>Manabí</v>
      </c>
      <c r="J681" t="s">
        <v>2021</v>
      </c>
      <c r="K681" s="1" t="s">
        <v>2023</v>
      </c>
    </row>
    <row r="682" spans="1:11" ht="16" x14ac:dyDescent="0.2">
      <c r="A682" t="s">
        <v>1299</v>
      </c>
      <c r="B682" t="s">
        <v>1300</v>
      </c>
      <c r="C682" t="str">
        <f t="shared" si="51"/>
        <v>Puerto López</v>
      </c>
      <c r="D682" t="str">
        <f t="shared" si="50"/>
        <v>Puerto López</v>
      </c>
      <c r="E682" t="str">
        <f t="shared" si="52"/>
        <v>EC131950</v>
      </c>
      <c r="F682" t="str">
        <f>_xlfn.XLOOKUP(G682,ecu_admgz_adm2!D:D,ecu_admgz_adm2!C:C)</f>
        <v>Puerto López</v>
      </c>
      <c r="G682" t="str">
        <f t="shared" si="53"/>
        <v>EC1319</v>
      </c>
      <c r="H682" t="str">
        <f t="shared" si="54"/>
        <v>EC13</v>
      </c>
      <c r="I682" t="str">
        <f>_xlfn.XLOOKUP(H682,eci_admgz_adm1!D:D,eci_admgz_adm1!C:C)</f>
        <v>Manabí</v>
      </c>
      <c r="J682" t="s">
        <v>2021</v>
      </c>
      <c r="K682" s="1" t="s">
        <v>2023</v>
      </c>
    </row>
    <row r="683" spans="1:11" ht="16" x14ac:dyDescent="0.2">
      <c r="A683" t="s">
        <v>1301</v>
      </c>
      <c r="B683" t="s">
        <v>1302</v>
      </c>
      <c r="C683" t="str">
        <f t="shared" si="51"/>
        <v>Machalilla</v>
      </c>
      <c r="D683" t="str">
        <f t="shared" si="50"/>
        <v>Machalilla</v>
      </c>
      <c r="E683" t="str">
        <f t="shared" si="52"/>
        <v>EC131951</v>
      </c>
      <c r="F683" t="str">
        <f>_xlfn.XLOOKUP(G683,ecu_admgz_adm2!D:D,ecu_admgz_adm2!C:C)</f>
        <v>Puerto López</v>
      </c>
      <c r="G683" t="str">
        <f t="shared" si="53"/>
        <v>EC1319</v>
      </c>
      <c r="H683" t="str">
        <f t="shared" si="54"/>
        <v>EC13</v>
      </c>
      <c r="I683" t="str">
        <f>_xlfn.XLOOKUP(H683,eci_admgz_adm1!D:D,eci_admgz_adm1!C:C)</f>
        <v>Manabí</v>
      </c>
      <c r="J683" t="s">
        <v>2021</v>
      </c>
      <c r="K683" s="1" t="s">
        <v>2023</v>
      </c>
    </row>
    <row r="684" spans="1:11" ht="16" x14ac:dyDescent="0.2">
      <c r="A684" t="s">
        <v>1303</v>
      </c>
      <c r="B684" t="s">
        <v>1304</v>
      </c>
      <c r="C684" t="str">
        <f t="shared" si="51"/>
        <v>Salango</v>
      </c>
      <c r="D684" t="str">
        <f t="shared" si="50"/>
        <v>Salango</v>
      </c>
      <c r="E684" t="str">
        <f t="shared" si="52"/>
        <v>EC131952</v>
      </c>
      <c r="F684" t="str">
        <f>_xlfn.XLOOKUP(G684,ecu_admgz_adm2!D:D,ecu_admgz_adm2!C:C)</f>
        <v>Puerto López</v>
      </c>
      <c r="G684" t="str">
        <f t="shared" si="53"/>
        <v>EC1319</v>
      </c>
      <c r="H684" t="str">
        <f t="shared" si="54"/>
        <v>EC13</v>
      </c>
      <c r="I684" t="str">
        <f>_xlfn.XLOOKUP(H684,eci_admgz_adm1!D:D,eci_admgz_adm1!C:C)</f>
        <v>Manabí</v>
      </c>
      <c r="J684" t="s">
        <v>2021</v>
      </c>
      <c r="K684" s="1" t="s">
        <v>2023</v>
      </c>
    </row>
    <row r="685" spans="1:11" ht="16" x14ac:dyDescent="0.2">
      <c r="A685" t="s">
        <v>1305</v>
      </c>
      <c r="B685" t="s">
        <v>1306</v>
      </c>
      <c r="C685" t="str">
        <f t="shared" si="51"/>
        <v>Jama</v>
      </c>
      <c r="D685" t="str">
        <f t="shared" si="50"/>
        <v>Jama</v>
      </c>
      <c r="E685" t="str">
        <f t="shared" si="52"/>
        <v>EC132050</v>
      </c>
      <c r="F685" t="str">
        <f>_xlfn.XLOOKUP(G685,ecu_admgz_adm2!D:D,ecu_admgz_adm2!C:C)</f>
        <v>Jama</v>
      </c>
      <c r="G685" t="str">
        <f t="shared" si="53"/>
        <v>EC1320</v>
      </c>
      <c r="H685" t="str">
        <f t="shared" si="54"/>
        <v>EC13</v>
      </c>
      <c r="I685" t="str">
        <f>_xlfn.XLOOKUP(H685,eci_admgz_adm1!D:D,eci_admgz_adm1!C:C)</f>
        <v>Manabí</v>
      </c>
      <c r="J685" t="s">
        <v>2021</v>
      </c>
      <c r="K685" s="1" t="s">
        <v>2023</v>
      </c>
    </row>
    <row r="686" spans="1:11" ht="16" x14ac:dyDescent="0.2">
      <c r="A686" t="s">
        <v>1307</v>
      </c>
      <c r="B686" t="s">
        <v>1308</v>
      </c>
      <c r="C686" t="str">
        <f t="shared" si="51"/>
        <v>Jaramijó</v>
      </c>
      <c r="D686" t="str">
        <f t="shared" si="50"/>
        <v>Jaramijó</v>
      </c>
      <c r="E686" t="str">
        <f t="shared" si="52"/>
        <v>EC132150</v>
      </c>
      <c r="F686" t="str">
        <f>_xlfn.XLOOKUP(G686,ecu_admgz_adm2!D:D,ecu_admgz_adm2!C:C)</f>
        <v>Jaramijó</v>
      </c>
      <c r="G686" t="str">
        <f t="shared" si="53"/>
        <v>EC1321</v>
      </c>
      <c r="H686" t="str">
        <f t="shared" si="54"/>
        <v>EC13</v>
      </c>
      <c r="I686" t="str">
        <f>_xlfn.XLOOKUP(H686,eci_admgz_adm1!D:D,eci_admgz_adm1!C:C)</f>
        <v>Manabí</v>
      </c>
      <c r="J686" t="s">
        <v>2021</v>
      </c>
      <c r="K686" s="1" t="s">
        <v>2023</v>
      </c>
    </row>
    <row r="687" spans="1:11" ht="16" x14ac:dyDescent="0.2">
      <c r="A687" t="s">
        <v>1309</v>
      </c>
      <c r="B687" t="s">
        <v>143</v>
      </c>
      <c r="C687" t="str">
        <f t="shared" si="51"/>
        <v>San Vicente</v>
      </c>
      <c r="D687" t="str">
        <f t="shared" si="50"/>
        <v>San Vicente</v>
      </c>
      <c r="E687" t="str">
        <f t="shared" si="52"/>
        <v>EC132250</v>
      </c>
      <c r="F687" t="str">
        <f>_xlfn.XLOOKUP(G687,ecu_admgz_adm2!D:D,ecu_admgz_adm2!C:C)</f>
        <v>San Vicente</v>
      </c>
      <c r="G687" t="str">
        <f t="shared" si="53"/>
        <v>EC1322</v>
      </c>
      <c r="H687" t="str">
        <f t="shared" si="54"/>
        <v>EC13</v>
      </c>
      <c r="I687" t="str">
        <f>_xlfn.XLOOKUP(H687,eci_admgz_adm1!D:D,eci_admgz_adm1!C:C)</f>
        <v>Manabí</v>
      </c>
      <c r="J687" t="s">
        <v>2021</v>
      </c>
      <c r="K687" s="1" t="s">
        <v>2023</v>
      </c>
    </row>
    <row r="688" spans="1:11" ht="16" x14ac:dyDescent="0.2">
      <c r="A688" t="s">
        <v>1310</v>
      </c>
      <c r="B688" t="s">
        <v>1311</v>
      </c>
      <c r="C688" t="str">
        <f t="shared" si="51"/>
        <v>Canoa</v>
      </c>
      <c r="D688" t="str">
        <f t="shared" si="50"/>
        <v>Canoa</v>
      </c>
      <c r="E688" t="str">
        <f t="shared" si="52"/>
        <v>EC132251</v>
      </c>
      <c r="F688" t="str">
        <f>_xlfn.XLOOKUP(G688,ecu_admgz_adm2!D:D,ecu_admgz_adm2!C:C)</f>
        <v>San Vicente</v>
      </c>
      <c r="G688" t="str">
        <f t="shared" si="53"/>
        <v>EC1322</v>
      </c>
      <c r="H688" t="str">
        <f t="shared" si="54"/>
        <v>EC13</v>
      </c>
      <c r="I688" t="str">
        <f>_xlfn.XLOOKUP(H688,eci_admgz_adm1!D:D,eci_admgz_adm1!C:C)</f>
        <v>Manabí</v>
      </c>
      <c r="J688" t="s">
        <v>2021</v>
      </c>
      <c r="K688" s="1" t="s">
        <v>2023</v>
      </c>
    </row>
    <row r="689" spans="1:11" ht="16" x14ac:dyDescent="0.2">
      <c r="A689" t="s">
        <v>1312</v>
      </c>
      <c r="B689" t="s">
        <v>1313</v>
      </c>
      <c r="C689" t="str">
        <f t="shared" si="51"/>
        <v>Macas</v>
      </c>
      <c r="D689" t="str">
        <f t="shared" si="50"/>
        <v>Macas</v>
      </c>
      <c r="E689" t="str">
        <f t="shared" si="52"/>
        <v>EC140150</v>
      </c>
      <c r="F689" t="str">
        <f>_xlfn.XLOOKUP(G689,ecu_admgz_adm2!D:D,ecu_admgz_adm2!C:C)</f>
        <v>Morona</v>
      </c>
      <c r="G689" t="str">
        <f t="shared" si="53"/>
        <v>EC1401</v>
      </c>
      <c r="H689" t="str">
        <f t="shared" si="54"/>
        <v>EC14</v>
      </c>
      <c r="I689" t="str">
        <f>_xlfn.XLOOKUP(H689,eci_admgz_adm1!D:D,eci_admgz_adm1!C:C)</f>
        <v>Morona Santiago</v>
      </c>
      <c r="J689" t="s">
        <v>2021</v>
      </c>
      <c r="K689" s="1" t="s">
        <v>2023</v>
      </c>
    </row>
    <row r="690" spans="1:11" ht="16" x14ac:dyDescent="0.2">
      <c r="A690" t="s">
        <v>1314</v>
      </c>
      <c r="B690" t="s">
        <v>1315</v>
      </c>
      <c r="C690" t="str">
        <f t="shared" si="51"/>
        <v>Alshi</v>
      </c>
      <c r="D690" t="str">
        <f t="shared" si="50"/>
        <v>Alshi</v>
      </c>
      <c r="E690" t="str">
        <f t="shared" si="52"/>
        <v>EC140151</v>
      </c>
      <c r="F690" t="str">
        <f>_xlfn.XLOOKUP(G690,ecu_admgz_adm2!D:D,ecu_admgz_adm2!C:C)</f>
        <v>Morona</v>
      </c>
      <c r="G690" t="str">
        <f t="shared" si="53"/>
        <v>EC1401</v>
      </c>
      <c r="H690" t="str">
        <f t="shared" si="54"/>
        <v>EC14</v>
      </c>
      <c r="I690" t="str">
        <f>_xlfn.XLOOKUP(H690,eci_admgz_adm1!D:D,eci_admgz_adm1!C:C)</f>
        <v>Morona Santiago</v>
      </c>
      <c r="J690" t="s">
        <v>2021</v>
      </c>
      <c r="K690" s="1" t="s">
        <v>2023</v>
      </c>
    </row>
    <row r="691" spans="1:11" ht="16" x14ac:dyDescent="0.2">
      <c r="A691" t="s">
        <v>1316</v>
      </c>
      <c r="B691" t="s">
        <v>1317</v>
      </c>
      <c r="C691" t="str">
        <f t="shared" si="51"/>
        <v>General Proaño</v>
      </c>
      <c r="D691" t="str">
        <f t="shared" si="50"/>
        <v>General Proaño</v>
      </c>
      <c r="E691" t="str">
        <f t="shared" si="52"/>
        <v>EC140153</v>
      </c>
      <c r="F691" t="str">
        <f>_xlfn.XLOOKUP(G691,ecu_admgz_adm2!D:D,ecu_admgz_adm2!C:C)</f>
        <v>Morona</v>
      </c>
      <c r="G691" t="str">
        <f t="shared" si="53"/>
        <v>EC1401</v>
      </c>
      <c r="H691" t="str">
        <f t="shared" si="54"/>
        <v>EC14</v>
      </c>
      <c r="I691" t="str">
        <f>_xlfn.XLOOKUP(H691,eci_admgz_adm1!D:D,eci_admgz_adm1!C:C)</f>
        <v>Morona Santiago</v>
      </c>
      <c r="J691" t="s">
        <v>2021</v>
      </c>
      <c r="K691" s="1" t="s">
        <v>2023</v>
      </c>
    </row>
    <row r="692" spans="1:11" ht="16" x14ac:dyDescent="0.2">
      <c r="A692" t="s">
        <v>1318</v>
      </c>
      <c r="B692" t="s">
        <v>309</v>
      </c>
      <c r="C692" t="str">
        <f t="shared" si="51"/>
        <v>San Isidro</v>
      </c>
      <c r="D692" t="str">
        <f t="shared" si="50"/>
        <v>San Isidro</v>
      </c>
      <c r="E692" t="str">
        <f t="shared" si="52"/>
        <v>EC140156</v>
      </c>
      <c r="F692" t="str">
        <f>_xlfn.XLOOKUP(G692,ecu_admgz_adm2!D:D,ecu_admgz_adm2!C:C)</f>
        <v>Morona</v>
      </c>
      <c r="G692" t="str">
        <f t="shared" si="53"/>
        <v>EC1401</v>
      </c>
      <c r="H692" t="str">
        <f t="shared" si="54"/>
        <v>EC14</v>
      </c>
      <c r="I692" t="str">
        <f>_xlfn.XLOOKUP(H692,eci_admgz_adm1!D:D,eci_admgz_adm1!C:C)</f>
        <v>Morona Santiago</v>
      </c>
      <c r="J692" t="s">
        <v>2021</v>
      </c>
      <c r="K692" s="1" t="s">
        <v>2023</v>
      </c>
    </row>
    <row r="693" spans="1:11" ht="16" x14ac:dyDescent="0.2">
      <c r="A693" t="s">
        <v>1319</v>
      </c>
      <c r="B693" t="s">
        <v>1320</v>
      </c>
      <c r="C693" t="str">
        <f t="shared" si="51"/>
        <v>Sevilla Don Bosco</v>
      </c>
      <c r="D693" t="str">
        <f t="shared" si="50"/>
        <v>Sevilla Don Bosco</v>
      </c>
      <c r="E693" t="str">
        <f t="shared" si="52"/>
        <v>EC140157</v>
      </c>
      <c r="F693" t="str">
        <f>_xlfn.XLOOKUP(G693,ecu_admgz_adm2!D:D,ecu_admgz_adm2!C:C)</f>
        <v>Morona</v>
      </c>
      <c r="G693" t="str">
        <f t="shared" si="53"/>
        <v>EC1401</v>
      </c>
      <c r="H693" t="str">
        <f t="shared" si="54"/>
        <v>EC14</v>
      </c>
      <c r="I693" t="str">
        <f>_xlfn.XLOOKUP(H693,eci_admgz_adm1!D:D,eci_admgz_adm1!C:C)</f>
        <v>Morona Santiago</v>
      </c>
      <c r="J693" t="s">
        <v>2021</v>
      </c>
      <c r="K693" s="1" t="s">
        <v>2023</v>
      </c>
    </row>
    <row r="694" spans="1:11" ht="16" x14ac:dyDescent="0.2">
      <c r="A694" t="s">
        <v>1321</v>
      </c>
      <c r="B694" t="s">
        <v>1322</v>
      </c>
      <c r="C694" t="str">
        <f t="shared" si="51"/>
        <v>Sinaí</v>
      </c>
      <c r="D694" t="str">
        <f t="shared" si="50"/>
        <v>Sinaí</v>
      </c>
      <c r="E694" t="str">
        <f t="shared" si="52"/>
        <v>EC140158</v>
      </c>
      <c r="F694" t="str">
        <f>_xlfn.XLOOKUP(G694,ecu_admgz_adm2!D:D,ecu_admgz_adm2!C:C)</f>
        <v>Morona</v>
      </c>
      <c r="G694" t="str">
        <f t="shared" si="53"/>
        <v>EC1401</v>
      </c>
      <c r="H694" t="str">
        <f t="shared" si="54"/>
        <v>EC14</v>
      </c>
      <c r="I694" t="str">
        <f>_xlfn.XLOOKUP(H694,eci_admgz_adm1!D:D,eci_admgz_adm1!C:C)</f>
        <v>Morona Santiago</v>
      </c>
      <c r="J694" t="s">
        <v>2021</v>
      </c>
      <c r="K694" s="1" t="s">
        <v>2023</v>
      </c>
    </row>
    <row r="695" spans="1:11" ht="16" x14ac:dyDescent="0.2">
      <c r="A695" t="s">
        <v>1323</v>
      </c>
      <c r="B695" t="s">
        <v>1324</v>
      </c>
      <c r="C695" t="str">
        <f t="shared" si="51"/>
        <v>Zuña</v>
      </c>
      <c r="D695" t="str">
        <f t="shared" si="50"/>
        <v>Zuña</v>
      </c>
      <c r="E695" t="str">
        <f t="shared" si="52"/>
        <v>EC140160</v>
      </c>
      <c r="F695" t="str">
        <f>_xlfn.XLOOKUP(G695,ecu_admgz_adm2!D:D,ecu_admgz_adm2!C:C)</f>
        <v>Morona</v>
      </c>
      <c r="G695" t="str">
        <f t="shared" si="53"/>
        <v>EC1401</v>
      </c>
      <c r="H695" t="str">
        <f t="shared" si="54"/>
        <v>EC14</v>
      </c>
      <c r="I695" t="str">
        <f>_xlfn.XLOOKUP(H695,eci_admgz_adm1!D:D,eci_admgz_adm1!C:C)</f>
        <v>Morona Santiago</v>
      </c>
      <c r="J695" t="s">
        <v>2021</v>
      </c>
      <c r="K695" s="1" t="s">
        <v>2023</v>
      </c>
    </row>
    <row r="696" spans="1:11" ht="16" x14ac:dyDescent="0.2">
      <c r="A696" t="s">
        <v>1325</v>
      </c>
      <c r="B696" t="s">
        <v>1326</v>
      </c>
      <c r="C696" t="str">
        <f t="shared" si="51"/>
        <v>Cuchaentza</v>
      </c>
      <c r="D696" t="str">
        <f t="shared" si="50"/>
        <v>Cuchaentza</v>
      </c>
      <c r="E696" t="str">
        <f t="shared" si="52"/>
        <v>EC140162</v>
      </c>
      <c r="F696" t="str">
        <f>_xlfn.XLOOKUP(G696,ecu_admgz_adm2!D:D,ecu_admgz_adm2!C:C)</f>
        <v>Morona</v>
      </c>
      <c r="G696" t="str">
        <f t="shared" si="53"/>
        <v>EC1401</v>
      </c>
      <c r="H696" t="str">
        <f t="shared" si="54"/>
        <v>EC14</v>
      </c>
      <c r="I696" t="str">
        <f>_xlfn.XLOOKUP(H696,eci_admgz_adm1!D:D,eci_admgz_adm1!C:C)</f>
        <v>Morona Santiago</v>
      </c>
      <c r="J696" t="s">
        <v>2021</v>
      </c>
      <c r="K696" s="1" t="s">
        <v>2023</v>
      </c>
    </row>
    <row r="697" spans="1:11" ht="16" x14ac:dyDescent="0.2">
      <c r="A697" t="s">
        <v>1327</v>
      </c>
      <c r="B697" t="s">
        <v>1328</v>
      </c>
      <c r="C697" t="str">
        <f t="shared" si="51"/>
        <v>Río Blanco</v>
      </c>
      <c r="D697" t="str">
        <f t="shared" si="50"/>
        <v>Río Blanco</v>
      </c>
      <c r="E697" t="str">
        <f t="shared" si="52"/>
        <v>EC140164</v>
      </c>
      <c r="F697" t="str">
        <f>_xlfn.XLOOKUP(G697,ecu_admgz_adm2!D:D,ecu_admgz_adm2!C:C)</f>
        <v>Morona</v>
      </c>
      <c r="G697" t="str">
        <f t="shared" si="53"/>
        <v>EC1401</v>
      </c>
      <c r="H697" t="str">
        <f t="shared" si="54"/>
        <v>EC14</v>
      </c>
      <c r="I697" t="str">
        <f>_xlfn.XLOOKUP(H697,eci_admgz_adm1!D:D,eci_admgz_adm1!C:C)</f>
        <v>Morona Santiago</v>
      </c>
      <c r="J697" t="s">
        <v>2021</v>
      </c>
      <c r="K697" s="1" t="s">
        <v>2023</v>
      </c>
    </row>
    <row r="698" spans="1:11" ht="16" x14ac:dyDescent="0.2">
      <c r="A698" t="s">
        <v>1329</v>
      </c>
      <c r="B698" t="s">
        <v>1330</v>
      </c>
      <c r="C698" t="str">
        <f t="shared" si="51"/>
        <v>Gualaquiza</v>
      </c>
      <c r="D698" t="str">
        <f t="shared" si="50"/>
        <v>Gualaquiza</v>
      </c>
      <c r="E698" t="str">
        <f t="shared" si="52"/>
        <v>EC140250</v>
      </c>
      <c r="F698" t="str">
        <f>_xlfn.XLOOKUP(G698,ecu_admgz_adm2!D:D,ecu_admgz_adm2!C:C)</f>
        <v>Gualaquiza</v>
      </c>
      <c r="G698" t="str">
        <f t="shared" si="53"/>
        <v>EC1402</v>
      </c>
      <c r="H698" t="str">
        <f t="shared" si="54"/>
        <v>EC14</v>
      </c>
      <c r="I698" t="str">
        <f>_xlfn.XLOOKUP(H698,eci_admgz_adm1!D:D,eci_admgz_adm1!C:C)</f>
        <v>Morona Santiago</v>
      </c>
      <c r="J698" t="s">
        <v>2021</v>
      </c>
      <c r="K698" s="1" t="s">
        <v>2023</v>
      </c>
    </row>
    <row r="699" spans="1:11" ht="16" x14ac:dyDescent="0.2">
      <c r="A699" t="s">
        <v>1331</v>
      </c>
      <c r="B699" t="s">
        <v>1332</v>
      </c>
      <c r="C699" t="str">
        <f t="shared" si="51"/>
        <v>Amazonas</v>
      </c>
      <c r="D699" t="str">
        <f t="shared" si="50"/>
        <v>Amazonas</v>
      </c>
      <c r="E699" t="str">
        <f t="shared" si="52"/>
        <v>EC140251</v>
      </c>
      <c r="F699" t="str">
        <f>_xlfn.XLOOKUP(G699,ecu_admgz_adm2!D:D,ecu_admgz_adm2!C:C)</f>
        <v>Gualaquiza</v>
      </c>
      <c r="G699" t="str">
        <f t="shared" si="53"/>
        <v>EC1402</v>
      </c>
      <c r="H699" t="str">
        <f t="shared" si="54"/>
        <v>EC14</v>
      </c>
      <c r="I699" t="str">
        <f>_xlfn.XLOOKUP(H699,eci_admgz_adm1!D:D,eci_admgz_adm1!C:C)</f>
        <v>Morona Santiago</v>
      </c>
      <c r="J699" t="s">
        <v>2021</v>
      </c>
      <c r="K699" s="1" t="s">
        <v>2023</v>
      </c>
    </row>
    <row r="700" spans="1:11" ht="16" x14ac:dyDescent="0.2">
      <c r="A700" t="s">
        <v>1333</v>
      </c>
      <c r="B700" t="s">
        <v>1334</v>
      </c>
      <c r="C700" t="str">
        <f t="shared" si="51"/>
        <v>Bermejos</v>
      </c>
      <c r="D700" t="str">
        <f t="shared" si="50"/>
        <v>Bermejos</v>
      </c>
      <c r="E700" t="str">
        <f t="shared" si="52"/>
        <v>EC140252</v>
      </c>
      <c r="F700" t="str">
        <f>_xlfn.XLOOKUP(G700,ecu_admgz_adm2!D:D,ecu_admgz_adm2!C:C)</f>
        <v>Gualaquiza</v>
      </c>
      <c r="G700" t="str">
        <f t="shared" si="53"/>
        <v>EC1402</v>
      </c>
      <c r="H700" t="str">
        <f t="shared" si="54"/>
        <v>EC14</v>
      </c>
      <c r="I700" t="str">
        <f>_xlfn.XLOOKUP(H700,eci_admgz_adm1!D:D,eci_admgz_adm1!C:C)</f>
        <v>Morona Santiago</v>
      </c>
      <c r="J700" t="s">
        <v>2021</v>
      </c>
      <c r="K700" s="1" t="s">
        <v>2023</v>
      </c>
    </row>
    <row r="701" spans="1:11" ht="16" x14ac:dyDescent="0.2">
      <c r="A701" t="s">
        <v>1335</v>
      </c>
      <c r="B701" t="s">
        <v>1336</v>
      </c>
      <c r="C701" t="str">
        <f t="shared" si="51"/>
        <v>Bomboíza</v>
      </c>
      <c r="D701" t="str">
        <f t="shared" si="50"/>
        <v>Bomboíza</v>
      </c>
      <c r="E701" t="str">
        <f t="shared" si="52"/>
        <v>EC140253</v>
      </c>
      <c r="F701" t="str">
        <f>_xlfn.XLOOKUP(G701,ecu_admgz_adm2!D:D,ecu_admgz_adm2!C:C)</f>
        <v>Gualaquiza</v>
      </c>
      <c r="G701" t="str">
        <f t="shared" si="53"/>
        <v>EC1402</v>
      </c>
      <c r="H701" t="str">
        <f t="shared" si="54"/>
        <v>EC14</v>
      </c>
      <c r="I701" t="str">
        <f>_xlfn.XLOOKUP(H701,eci_admgz_adm1!D:D,eci_admgz_adm1!C:C)</f>
        <v>Morona Santiago</v>
      </c>
      <c r="J701" t="s">
        <v>2021</v>
      </c>
      <c r="K701" s="1" t="s">
        <v>2023</v>
      </c>
    </row>
    <row r="702" spans="1:11" ht="16" x14ac:dyDescent="0.2">
      <c r="A702" t="s">
        <v>1337</v>
      </c>
      <c r="B702" t="s">
        <v>1338</v>
      </c>
      <c r="C702" t="str">
        <f t="shared" si="51"/>
        <v>Chigüinda</v>
      </c>
      <c r="D702" t="str">
        <f t="shared" si="50"/>
        <v>Chigüinda</v>
      </c>
      <c r="E702" t="str">
        <f t="shared" si="52"/>
        <v>EC140254</v>
      </c>
      <c r="F702" t="str">
        <f>_xlfn.XLOOKUP(G702,ecu_admgz_adm2!D:D,ecu_admgz_adm2!C:C)</f>
        <v>Gualaquiza</v>
      </c>
      <c r="G702" t="str">
        <f t="shared" si="53"/>
        <v>EC1402</v>
      </c>
      <c r="H702" t="str">
        <f t="shared" si="54"/>
        <v>EC14</v>
      </c>
      <c r="I702" t="str">
        <f>_xlfn.XLOOKUP(H702,eci_admgz_adm1!D:D,eci_admgz_adm1!C:C)</f>
        <v>Morona Santiago</v>
      </c>
      <c r="J702" t="s">
        <v>2021</v>
      </c>
      <c r="K702" s="1" t="s">
        <v>2023</v>
      </c>
    </row>
    <row r="703" spans="1:11" ht="16" x14ac:dyDescent="0.2">
      <c r="A703" t="s">
        <v>1339</v>
      </c>
      <c r="B703" t="s">
        <v>802</v>
      </c>
      <c r="C703" t="str">
        <f t="shared" si="51"/>
        <v>El Rosario</v>
      </c>
      <c r="D703" t="str">
        <f t="shared" si="50"/>
        <v>El Rosario</v>
      </c>
      <c r="E703" t="str">
        <f t="shared" si="52"/>
        <v>EC140255</v>
      </c>
      <c r="F703" t="str">
        <f>_xlfn.XLOOKUP(G703,ecu_admgz_adm2!D:D,ecu_admgz_adm2!C:C)</f>
        <v>Gualaquiza</v>
      </c>
      <c r="G703" t="str">
        <f t="shared" si="53"/>
        <v>EC1402</v>
      </c>
      <c r="H703" t="str">
        <f t="shared" si="54"/>
        <v>EC14</v>
      </c>
      <c r="I703" t="str">
        <f>_xlfn.XLOOKUP(H703,eci_admgz_adm1!D:D,eci_admgz_adm1!C:C)</f>
        <v>Morona Santiago</v>
      </c>
      <c r="J703" t="s">
        <v>2021</v>
      </c>
      <c r="K703" s="1" t="s">
        <v>2023</v>
      </c>
    </row>
    <row r="704" spans="1:11" ht="16" x14ac:dyDescent="0.2">
      <c r="A704" t="s">
        <v>1340</v>
      </c>
      <c r="B704" t="s">
        <v>1341</v>
      </c>
      <c r="C704" t="str">
        <f t="shared" si="51"/>
        <v>Nueva Tarqui</v>
      </c>
      <c r="D704" t="str">
        <f t="shared" si="50"/>
        <v>Nueva Tarqui</v>
      </c>
      <c r="E704" t="str">
        <f t="shared" si="52"/>
        <v>EC140256</v>
      </c>
      <c r="F704" t="str">
        <f>_xlfn.XLOOKUP(G704,ecu_admgz_adm2!D:D,ecu_admgz_adm2!C:C)</f>
        <v>Gualaquiza</v>
      </c>
      <c r="G704" t="str">
        <f t="shared" si="53"/>
        <v>EC1402</v>
      </c>
      <c r="H704" t="str">
        <f t="shared" si="54"/>
        <v>EC14</v>
      </c>
      <c r="I704" t="str">
        <f>_xlfn.XLOOKUP(H704,eci_admgz_adm1!D:D,eci_admgz_adm1!C:C)</f>
        <v>Morona Santiago</v>
      </c>
      <c r="J704" t="s">
        <v>2021</v>
      </c>
      <c r="K704" s="1" t="s">
        <v>2023</v>
      </c>
    </row>
    <row r="705" spans="1:11" ht="16" x14ac:dyDescent="0.2">
      <c r="A705" t="s">
        <v>1342</v>
      </c>
      <c r="B705" t="s">
        <v>1343</v>
      </c>
      <c r="C705" t="str">
        <f t="shared" si="51"/>
        <v>San Miguel De Cuyes</v>
      </c>
      <c r="D705" t="str">
        <f t="shared" si="50"/>
        <v>San Miguel de Cuyes</v>
      </c>
      <c r="E705" t="str">
        <f t="shared" si="52"/>
        <v>EC140257</v>
      </c>
      <c r="F705" t="str">
        <f>_xlfn.XLOOKUP(G705,ecu_admgz_adm2!D:D,ecu_admgz_adm2!C:C)</f>
        <v>Gualaquiza</v>
      </c>
      <c r="G705" t="str">
        <f t="shared" si="53"/>
        <v>EC1402</v>
      </c>
      <c r="H705" t="str">
        <f t="shared" si="54"/>
        <v>EC14</v>
      </c>
      <c r="I705" t="str">
        <f>_xlfn.XLOOKUP(H705,eci_admgz_adm1!D:D,eci_admgz_adm1!C:C)</f>
        <v>Morona Santiago</v>
      </c>
      <c r="J705" t="s">
        <v>2021</v>
      </c>
      <c r="K705" s="1" t="s">
        <v>2023</v>
      </c>
    </row>
    <row r="706" spans="1:11" ht="16" x14ac:dyDescent="0.2">
      <c r="A706" t="s">
        <v>1344</v>
      </c>
      <c r="B706" t="s">
        <v>1345</v>
      </c>
      <c r="C706" t="str">
        <f t="shared" si="51"/>
        <v>El Ideal</v>
      </c>
      <c r="D706" t="str">
        <f t="shared" ref="D706:D769" si="55">SUBSTITUTE(SUBSTITUTE(SUBSTITUTE(SUBSTITUTE(SUBSTITUTE(SUBSTITUTE(PROPER($C706)," De "," de ")," La "," la ")," Del "," del ")," Los "," los ")," Y "," y "),"En","en")</f>
        <v>El Ideal</v>
      </c>
      <c r="E706" t="str">
        <f t="shared" si="52"/>
        <v>EC140258</v>
      </c>
      <c r="F706" t="str">
        <f>_xlfn.XLOOKUP(G706,ecu_admgz_adm2!D:D,ecu_admgz_adm2!C:C)</f>
        <v>Gualaquiza</v>
      </c>
      <c r="G706" t="str">
        <f t="shared" si="53"/>
        <v>EC1402</v>
      </c>
      <c r="H706" t="str">
        <f t="shared" si="54"/>
        <v>EC14</v>
      </c>
      <c r="I706" t="str">
        <f>_xlfn.XLOOKUP(H706,eci_admgz_adm1!D:D,eci_admgz_adm1!C:C)</f>
        <v>Morona Santiago</v>
      </c>
      <c r="J706" t="s">
        <v>2021</v>
      </c>
      <c r="K706" s="1" t="s">
        <v>2023</v>
      </c>
    </row>
    <row r="707" spans="1:11" ht="16" x14ac:dyDescent="0.2">
      <c r="A707" t="s">
        <v>1346</v>
      </c>
      <c r="B707" t="s">
        <v>1347</v>
      </c>
      <c r="C707" t="str">
        <f t="shared" ref="C707:C770" si="56">PROPER(B707)</f>
        <v>Gral. Leonidas Plaza Gutiérrez</v>
      </c>
      <c r="D707" t="str">
        <f t="shared" si="55"/>
        <v>Gral. Leonidas Plaza Gutiérrez</v>
      </c>
      <c r="E707" t="str">
        <f t="shared" ref="E707:E770" si="57">"EC"&amp;A707</f>
        <v>EC140350</v>
      </c>
      <c r="F707" t="str">
        <f>_xlfn.XLOOKUP(G707,ecu_admgz_adm2!D:D,ecu_admgz_adm2!C:C)</f>
        <v>Limón Indanza</v>
      </c>
      <c r="G707" t="str">
        <f t="shared" ref="G707:G770" si="58">LEFT(E707,6)</f>
        <v>EC1403</v>
      </c>
      <c r="H707" t="str">
        <f t="shared" ref="H707:H770" si="59">LEFT(G707,4)</f>
        <v>EC14</v>
      </c>
      <c r="I707" t="str">
        <f>_xlfn.XLOOKUP(H707,eci_admgz_adm1!D:D,eci_admgz_adm1!C:C)</f>
        <v>Morona Santiago</v>
      </c>
      <c r="J707" t="s">
        <v>2021</v>
      </c>
      <c r="K707" s="1" t="s">
        <v>2023</v>
      </c>
    </row>
    <row r="708" spans="1:11" ht="16" x14ac:dyDescent="0.2">
      <c r="A708" t="s">
        <v>1348</v>
      </c>
      <c r="B708" t="s">
        <v>1349</v>
      </c>
      <c r="C708" t="str">
        <f t="shared" si="56"/>
        <v>Indanza</v>
      </c>
      <c r="D708" t="str">
        <f t="shared" si="55"/>
        <v>Indanza</v>
      </c>
      <c r="E708" t="str">
        <f t="shared" si="57"/>
        <v>EC140351</v>
      </c>
      <c r="F708" t="str">
        <f>_xlfn.XLOOKUP(G708,ecu_admgz_adm2!D:D,ecu_admgz_adm2!C:C)</f>
        <v>Limón Indanza</v>
      </c>
      <c r="G708" t="str">
        <f t="shared" si="58"/>
        <v>EC1403</v>
      </c>
      <c r="H708" t="str">
        <f t="shared" si="59"/>
        <v>EC14</v>
      </c>
      <c r="I708" t="str">
        <f>_xlfn.XLOOKUP(H708,eci_admgz_adm1!D:D,eci_admgz_adm1!C:C)</f>
        <v>Morona Santiago</v>
      </c>
      <c r="J708" t="s">
        <v>2021</v>
      </c>
      <c r="K708" s="1" t="s">
        <v>2023</v>
      </c>
    </row>
    <row r="709" spans="1:11" ht="16" x14ac:dyDescent="0.2">
      <c r="A709" t="s">
        <v>1350</v>
      </c>
      <c r="B709" t="s">
        <v>250</v>
      </c>
      <c r="C709" t="str">
        <f t="shared" si="56"/>
        <v>San Antonio</v>
      </c>
      <c r="D709" t="str">
        <f t="shared" si="55"/>
        <v>San Antonio</v>
      </c>
      <c r="E709" t="str">
        <f t="shared" si="57"/>
        <v>EC140353</v>
      </c>
      <c r="F709" t="str">
        <f>_xlfn.XLOOKUP(G709,ecu_admgz_adm2!D:D,ecu_admgz_adm2!C:C)</f>
        <v>Limón Indanza</v>
      </c>
      <c r="G709" t="str">
        <f t="shared" si="58"/>
        <v>EC1403</v>
      </c>
      <c r="H709" t="str">
        <f t="shared" si="59"/>
        <v>EC14</v>
      </c>
      <c r="I709" t="str">
        <f>_xlfn.XLOOKUP(H709,eci_admgz_adm1!D:D,eci_admgz_adm1!C:C)</f>
        <v>Morona Santiago</v>
      </c>
      <c r="J709" t="s">
        <v>2021</v>
      </c>
      <c r="K709" s="1" t="s">
        <v>2023</v>
      </c>
    </row>
    <row r="710" spans="1:11" ht="16" x14ac:dyDescent="0.2">
      <c r="A710" t="s">
        <v>1351</v>
      </c>
      <c r="B710" t="s">
        <v>1352</v>
      </c>
      <c r="C710" t="str">
        <f t="shared" si="56"/>
        <v>San Miguel De Conchay</v>
      </c>
      <c r="D710" t="str">
        <f t="shared" si="55"/>
        <v>San Miguel de Conchay</v>
      </c>
      <c r="E710" t="str">
        <f t="shared" si="57"/>
        <v>EC140356</v>
      </c>
      <c r="F710" t="str">
        <f>_xlfn.XLOOKUP(G710,ecu_admgz_adm2!D:D,ecu_admgz_adm2!C:C)</f>
        <v>Limón Indanza</v>
      </c>
      <c r="G710" t="str">
        <f t="shared" si="58"/>
        <v>EC1403</v>
      </c>
      <c r="H710" t="str">
        <f t="shared" si="59"/>
        <v>EC14</v>
      </c>
      <c r="I710" t="str">
        <f>_xlfn.XLOOKUP(H710,eci_admgz_adm1!D:D,eci_admgz_adm1!C:C)</f>
        <v>Morona Santiago</v>
      </c>
      <c r="J710" t="s">
        <v>2021</v>
      </c>
      <c r="K710" s="1" t="s">
        <v>2023</v>
      </c>
    </row>
    <row r="711" spans="1:11" ht="16" x14ac:dyDescent="0.2">
      <c r="A711" t="s">
        <v>1353</v>
      </c>
      <c r="B711" t="s">
        <v>1354</v>
      </c>
      <c r="C711" t="str">
        <f t="shared" si="56"/>
        <v>Santa Susana De Chiviaza</v>
      </c>
      <c r="D711" t="str">
        <f t="shared" si="55"/>
        <v>Santa Susana de Chiviaza</v>
      </c>
      <c r="E711" t="str">
        <f t="shared" si="57"/>
        <v>EC140357</v>
      </c>
      <c r="F711" t="str">
        <f>_xlfn.XLOOKUP(G711,ecu_admgz_adm2!D:D,ecu_admgz_adm2!C:C)</f>
        <v>Limón Indanza</v>
      </c>
      <c r="G711" t="str">
        <f t="shared" si="58"/>
        <v>EC1403</v>
      </c>
      <c r="H711" t="str">
        <f t="shared" si="59"/>
        <v>EC14</v>
      </c>
      <c r="I711" t="str">
        <f>_xlfn.XLOOKUP(H711,eci_admgz_adm1!D:D,eci_admgz_adm1!C:C)</f>
        <v>Morona Santiago</v>
      </c>
      <c r="J711" t="s">
        <v>2021</v>
      </c>
      <c r="K711" s="1" t="s">
        <v>2023</v>
      </c>
    </row>
    <row r="712" spans="1:11" ht="16" x14ac:dyDescent="0.2">
      <c r="A712" t="s">
        <v>1355</v>
      </c>
      <c r="B712" t="s">
        <v>1356</v>
      </c>
      <c r="C712" t="str">
        <f t="shared" si="56"/>
        <v>Yunganza</v>
      </c>
      <c r="D712" t="str">
        <f t="shared" si="55"/>
        <v>Yunganza</v>
      </c>
      <c r="E712" t="str">
        <f t="shared" si="57"/>
        <v>EC140358</v>
      </c>
      <c r="F712" t="str">
        <f>_xlfn.XLOOKUP(G712,ecu_admgz_adm2!D:D,ecu_admgz_adm2!C:C)</f>
        <v>Limón Indanza</v>
      </c>
      <c r="G712" t="str">
        <f t="shared" si="58"/>
        <v>EC1403</v>
      </c>
      <c r="H712" t="str">
        <f t="shared" si="59"/>
        <v>EC14</v>
      </c>
      <c r="I712" t="str">
        <f>_xlfn.XLOOKUP(H712,eci_admgz_adm1!D:D,eci_admgz_adm1!C:C)</f>
        <v>Morona Santiago</v>
      </c>
      <c r="J712" t="s">
        <v>2021</v>
      </c>
      <c r="K712" s="1" t="s">
        <v>2023</v>
      </c>
    </row>
    <row r="713" spans="1:11" ht="16" x14ac:dyDescent="0.2">
      <c r="A713" t="s">
        <v>1357</v>
      </c>
      <c r="B713" t="s">
        <v>1358</v>
      </c>
      <c r="C713" t="str">
        <f t="shared" si="56"/>
        <v>Palora</v>
      </c>
      <c r="D713" t="str">
        <f t="shared" si="55"/>
        <v>Palora</v>
      </c>
      <c r="E713" t="str">
        <f t="shared" si="57"/>
        <v>EC140450</v>
      </c>
      <c r="F713" t="str">
        <f>_xlfn.XLOOKUP(G713,ecu_admgz_adm2!D:D,ecu_admgz_adm2!C:C)</f>
        <v>Palora</v>
      </c>
      <c r="G713" t="str">
        <f t="shared" si="58"/>
        <v>EC1404</v>
      </c>
      <c r="H713" t="str">
        <f t="shared" si="59"/>
        <v>EC14</v>
      </c>
      <c r="I713" t="str">
        <f>_xlfn.XLOOKUP(H713,eci_admgz_adm1!D:D,eci_admgz_adm1!C:C)</f>
        <v>Morona Santiago</v>
      </c>
      <c r="J713" t="s">
        <v>2021</v>
      </c>
      <c r="K713" s="1" t="s">
        <v>2023</v>
      </c>
    </row>
    <row r="714" spans="1:11" ht="16" x14ac:dyDescent="0.2">
      <c r="A714" t="s">
        <v>1359</v>
      </c>
      <c r="B714" t="s">
        <v>1360</v>
      </c>
      <c r="C714" t="str">
        <f t="shared" si="56"/>
        <v>Arapicos</v>
      </c>
      <c r="D714" t="str">
        <f t="shared" si="55"/>
        <v>Arapicos</v>
      </c>
      <c r="E714" t="str">
        <f t="shared" si="57"/>
        <v>EC140451</v>
      </c>
      <c r="F714" t="str">
        <f>_xlfn.XLOOKUP(G714,ecu_admgz_adm2!D:D,ecu_admgz_adm2!C:C)</f>
        <v>Palora</v>
      </c>
      <c r="G714" t="str">
        <f t="shared" si="58"/>
        <v>EC1404</v>
      </c>
      <c r="H714" t="str">
        <f t="shared" si="59"/>
        <v>EC14</v>
      </c>
      <c r="I714" t="str">
        <f>_xlfn.XLOOKUP(H714,eci_admgz_adm1!D:D,eci_admgz_adm1!C:C)</f>
        <v>Morona Santiago</v>
      </c>
      <c r="J714" t="s">
        <v>2021</v>
      </c>
      <c r="K714" s="1" t="s">
        <v>2023</v>
      </c>
    </row>
    <row r="715" spans="1:11" ht="16" x14ac:dyDescent="0.2">
      <c r="A715" t="s">
        <v>1361</v>
      </c>
      <c r="B715" t="s">
        <v>520</v>
      </c>
      <c r="C715" t="str">
        <f t="shared" si="56"/>
        <v>Cumandá</v>
      </c>
      <c r="D715" t="str">
        <f t="shared" si="55"/>
        <v>Cumandá</v>
      </c>
      <c r="E715" t="str">
        <f t="shared" si="57"/>
        <v>EC140452</v>
      </c>
      <c r="F715" t="str">
        <f>_xlfn.XLOOKUP(G715,ecu_admgz_adm2!D:D,ecu_admgz_adm2!C:C)</f>
        <v>Palora</v>
      </c>
      <c r="G715" t="str">
        <f t="shared" si="58"/>
        <v>EC1404</v>
      </c>
      <c r="H715" t="str">
        <f t="shared" si="59"/>
        <v>EC14</v>
      </c>
      <c r="I715" t="str">
        <f>_xlfn.XLOOKUP(H715,eci_admgz_adm1!D:D,eci_admgz_adm1!C:C)</f>
        <v>Morona Santiago</v>
      </c>
      <c r="J715" t="s">
        <v>2021</v>
      </c>
      <c r="K715" s="1" t="s">
        <v>2023</v>
      </c>
    </row>
    <row r="716" spans="1:11" ht="16" x14ac:dyDescent="0.2">
      <c r="A716" t="s">
        <v>1362</v>
      </c>
      <c r="B716" t="s">
        <v>1363</v>
      </c>
      <c r="C716" t="str">
        <f t="shared" si="56"/>
        <v>Sangay</v>
      </c>
      <c r="D716" t="str">
        <f t="shared" si="55"/>
        <v>Sangay</v>
      </c>
      <c r="E716" t="str">
        <f t="shared" si="57"/>
        <v>EC140454</v>
      </c>
      <c r="F716" t="str">
        <f>_xlfn.XLOOKUP(G716,ecu_admgz_adm2!D:D,ecu_admgz_adm2!C:C)</f>
        <v>Palora</v>
      </c>
      <c r="G716" t="str">
        <f t="shared" si="58"/>
        <v>EC1404</v>
      </c>
      <c r="H716" t="str">
        <f t="shared" si="59"/>
        <v>EC14</v>
      </c>
      <c r="I716" t="str">
        <f>_xlfn.XLOOKUP(H716,eci_admgz_adm1!D:D,eci_admgz_adm1!C:C)</f>
        <v>Morona Santiago</v>
      </c>
      <c r="J716" t="s">
        <v>2021</v>
      </c>
      <c r="K716" s="1" t="s">
        <v>2023</v>
      </c>
    </row>
    <row r="717" spans="1:11" ht="16" x14ac:dyDescent="0.2">
      <c r="A717" t="s">
        <v>1364</v>
      </c>
      <c r="B717" t="s">
        <v>1365</v>
      </c>
      <c r="C717" t="str">
        <f t="shared" si="56"/>
        <v>16 De Agosto</v>
      </c>
      <c r="D717" t="str">
        <f t="shared" si="55"/>
        <v>16 de Agosto</v>
      </c>
      <c r="E717" t="str">
        <f t="shared" si="57"/>
        <v>EC140455</v>
      </c>
      <c r="F717" t="str">
        <f>_xlfn.XLOOKUP(G717,ecu_admgz_adm2!D:D,ecu_admgz_adm2!C:C)</f>
        <v>Palora</v>
      </c>
      <c r="G717" t="str">
        <f t="shared" si="58"/>
        <v>EC1404</v>
      </c>
      <c r="H717" t="str">
        <f t="shared" si="59"/>
        <v>EC14</v>
      </c>
      <c r="I717" t="str">
        <f>_xlfn.XLOOKUP(H717,eci_admgz_adm1!D:D,eci_admgz_adm1!C:C)</f>
        <v>Morona Santiago</v>
      </c>
      <c r="J717" t="s">
        <v>2021</v>
      </c>
      <c r="K717" s="1" t="s">
        <v>2023</v>
      </c>
    </row>
    <row r="718" spans="1:11" ht="16" x14ac:dyDescent="0.2">
      <c r="A718" t="s">
        <v>1366</v>
      </c>
      <c r="B718" t="s">
        <v>1367</v>
      </c>
      <c r="C718" t="str">
        <f t="shared" si="56"/>
        <v>Santiago De Méndez</v>
      </c>
      <c r="D718" t="str">
        <f t="shared" si="55"/>
        <v>Santiago de Méndez</v>
      </c>
      <c r="E718" t="str">
        <f t="shared" si="57"/>
        <v>EC140550</v>
      </c>
      <c r="F718" t="str">
        <f>_xlfn.XLOOKUP(G718,ecu_admgz_adm2!D:D,ecu_admgz_adm2!C:C)</f>
        <v>Santiago</v>
      </c>
      <c r="G718" t="str">
        <f t="shared" si="58"/>
        <v>EC1405</v>
      </c>
      <c r="H718" t="str">
        <f t="shared" si="59"/>
        <v>EC14</v>
      </c>
      <c r="I718" t="str">
        <f>_xlfn.XLOOKUP(H718,eci_admgz_adm1!D:D,eci_admgz_adm1!C:C)</f>
        <v>Morona Santiago</v>
      </c>
      <c r="J718" t="s">
        <v>2021</v>
      </c>
      <c r="K718" s="1" t="s">
        <v>2023</v>
      </c>
    </row>
    <row r="719" spans="1:11" ht="16" x14ac:dyDescent="0.2">
      <c r="A719" t="s">
        <v>1368</v>
      </c>
      <c r="B719" t="s">
        <v>1369</v>
      </c>
      <c r="C719" t="str">
        <f t="shared" si="56"/>
        <v>Copal</v>
      </c>
      <c r="D719" t="str">
        <f t="shared" si="55"/>
        <v>Copal</v>
      </c>
      <c r="E719" t="str">
        <f t="shared" si="57"/>
        <v>EC140551</v>
      </c>
      <c r="F719" t="str">
        <f>_xlfn.XLOOKUP(G719,ecu_admgz_adm2!D:D,ecu_admgz_adm2!C:C)</f>
        <v>Santiago</v>
      </c>
      <c r="G719" t="str">
        <f t="shared" si="58"/>
        <v>EC1405</v>
      </c>
      <c r="H719" t="str">
        <f t="shared" si="59"/>
        <v>EC14</v>
      </c>
      <c r="I719" t="str">
        <f>_xlfn.XLOOKUP(H719,eci_admgz_adm1!D:D,eci_admgz_adm1!C:C)</f>
        <v>Morona Santiago</v>
      </c>
      <c r="J719" t="s">
        <v>2021</v>
      </c>
      <c r="K719" s="1" t="s">
        <v>2023</v>
      </c>
    </row>
    <row r="720" spans="1:11" ht="16" x14ac:dyDescent="0.2">
      <c r="A720" t="s">
        <v>1370</v>
      </c>
      <c r="B720" t="s">
        <v>1371</v>
      </c>
      <c r="C720" t="str">
        <f t="shared" si="56"/>
        <v>Chupianza</v>
      </c>
      <c r="D720" t="str">
        <f t="shared" si="55"/>
        <v>Chupianza</v>
      </c>
      <c r="E720" t="str">
        <f t="shared" si="57"/>
        <v>EC140552</v>
      </c>
      <c r="F720" t="str">
        <f>_xlfn.XLOOKUP(G720,ecu_admgz_adm2!D:D,ecu_admgz_adm2!C:C)</f>
        <v>Santiago</v>
      </c>
      <c r="G720" t="str">
        <f t="shared" si="58"/>
        <v>EC1405</v>
      </c>
      <c r="H720" t="str">
        <f t="shared" si="59"/>
        <v>EC14</v>
      </c>
      <c r="I720" t="str">
        <f>_xlfn.XLOOKUP(H720,eci_admgz_adm1!D:D,eci_admgz_adm1!C:C)</f>
        <v>Morona Santiago</v>
      </c>
      <c r="J720" t="s">
        <v>2021</v>
      </c>
      <c r="K720" s="1" t="s">
        <v>2023</v>
      </c>
    </row>
    <row r="721" spans="1:11" ht="16" x14ac:dyDescent="0.2">
      <c r="A721" t="s">
        <v>1372</v>
      </c>
      <c r="B721" t="s">
        <v>1373</v>
      </c>
      <c r="C721" t="str">
        <f t="shared" si="56"/>
        <v>Patuca</v>
      </c>
      <c r="D721" t="str">
        <f t="shared" si="55"/>
        <v>Patuca</v>
      </c>
      <c r="E721" t="str">
        <f t="shared" si="57"/>
        <v>EC140553</v>
      </c>
      <c r="F721" t="str">
        <f>_xlfn.XLOOKUP(G721,ecu_admgz_adm2!D:D,ecu_admgz_adm2!C:C)</f>
        <v>Santiago</v>
      </c>
      <c r="G721" t="str">
        <f t="shared" si="58"/>
        <v>EC1405</v>
      </c>
      <c r="H721" t="str">
        <f t="shared" si="59"/>
        <v>EC14</v>
      </c>
      <c r="I721" t="str">
        <f>_xlfn.XLOOKUP(H721,eci_admgz_adm1!D:D,eci_admgz_adm1!C:C)</f>
        <v>Morona Santiago</v>
      </c>
      <c r="J721" t="s">
        <v>2021</v>
      </c>
      <c r="K721" s="1" t="s">
        <v>2023</v>
      </c>
    </row>
    <row r="722" spans="1:11" ht="16" x14ac:dyDescent="0.2">
      <c r="A722" t="s">
        <v>1374</v>
      </c>
      <c r="B722" t="s">
        <v>1375</v>
      </c>
      <c r="C722" t="str">
        <f t="shared" si="56"/>
        <v>San Luis De El Acho</v>
      </c>
      <c r="D722" t="str">
        <f t="shared" si="55"/>
        <v>San Luis de El Acho</v>
      </c>
      <c r="E722" t="str">
        <f t="shared" si="57"/>
        <v>EC140554</v>
      </c>
      <c r="F722" t="str">
        <f>_xlfn.XLOOKUP(G722,ecu_admgz_adm2!D:D,ecu_admgz_adm2!C:C)</f>
        <v>Santiago</v>
      </c>
      <c r="G722" t="str">
        <f t="shared" si="58"/>
        <v>EC1405</v>
      </c>
      <c r="H722" t="str">
        <f t="shared" si="59"/>
        <v>EC14</v>
      </c>
      <c r="I722" t="str">
        <f>_xlfn.XLOOKUP(H722,eci_admgz_adm1!D:D,eci_admgz_adm1!C:C)</f>
        <v>Morona Santiago</v>
      </c>
      <c r="J722" t="s">
        <v>2021</v>
      </c>
      <c r="K722" s="1" t="s">
        <v>2023</v>
      </c>
    </row>
    <row r="723" spans="1:11" ht="16" x14ac:dyDescent="0.2">
      <c r="A723" t="s">
        <v>1376</v>
      </c>
      <c r="B723" t="s">
        <v>1377</v>
      </c>
      <c r="C723" t="str">
        <f t="shared" si="56"/>
        <v>Tayuza</v>
      </c>
      <c r="D723" t="str">
        <f t="shared" si="55"/>
        <v>Tayuza</v>
      </c>
      <c r="E723" t="str">
        <f t="shared" si="57"/>
        <v>EC140556</v>
      </c>
      <c r="F723" t="str">
        <f>_xlfn.XLOOKUP(G723,ecu_admgz_adm2!D:D,ecu_admgz_adm2!C:C)</f>
        <v>Santiago</v>
      </c>
      <c r="G723" t="str">
        <f t="shared" si="58"/>
        <v>EC1405</v>
      </c>
      <c r="H723" t="str">
        <f t="shared" si="59"/>
        <v>EC14</v>
      </c>
      <c r="I723" t="str">
        <f>_xlfn.XLOOKUP(H723,eci_admgz_adm1!D:D,eci_admgz_adm1!C:C)</f>
        <v>Morona Santiago</v>
      </c>
      <c r="J723" t="s">
        <v>2021</v>
      </c>
      <c r="K723" s="1" t="s">
        <v>2023</v>
      </c>
    </row>
    <row r="724" spans="1:11" ht="16" x14ac:dyDescent="0.2">
      <c r="A724" t="s">
        <v>1378</v>
      </c>
      <c r="B724" t="s">
        <v>1379</v>
      </c>
      <c r="C724" t="str">
        <f t="shared" si="56"/>
        <v>San Francisco De Chinimbimi</v>
      </c>
      <c r="D724" t="str">
        <f t="shared" si="55"/>
        <v>San Francisco de Chinimbimi</v>
      </c>
      <c r="E724" t="str">
        <f t="shared" si="57"/>
        <v>EC140557</v>
      </c>
      <c r="F724" t="str">
        <f>_xlfn.XLOOKUP(G724,ecu_admgz_adm2!D:D,ecu_admgz_adm2!C:C)</f>
        <v>Santiago</v>
      </c>
      <c r="G724" t="str">
        <f t="shared" si="58"/>
        <v>EC1405</v>
      </c>
      <c r="H724" t="str">
        <f t="shared" si="59"/>
        <v>EC14</v>
      </c>
      <c r="I724" t="str">
        <f>_xlfn.XLOOKUP(H724,eci_admgz_adm1!D:D,eci_admgz_adm1!C:C)</f>
        <v>Morona Santiago</v>
      </c>
      <c r="J724" t="s">
        <v>2021</v>
      </c>
      <c r="K724" s="1" t="s">
        <v>2023</v>
      </c>
    </row>
    <row r="725" spans="1:11" ht="16" x14ac:dyDescent="0.2">
      <c r="A725" t="s">
        <v>1380</v>
      </c>
      <c r="B725" t="s">
        <v>1381</v>
      </c>
      <c r="C725" t="str">
        <f t="shared" si="56"/>
        <v>Sucúa</v>
      </c>
      <c r="D725" t="str">
        <f t="shared" si="55"/>
        <v>Sucúa</v>
      </c>
      <c r="E725" t="str">
        <f t="shared" si="57"/>
        <v>EC140650</v>
      </c>
      <c r="F725" t="str">
        <f>_xlfn.XLOOKUP(G725,ecu_admgz_adm2!D:D,ecu_admgz_adm2!C:C)</f>
        <v>Sucúa</v>
      </c>
      <c r="G725" t="str">
        <f t="shared" si="58"/>
        <v>EC1406</v>
      </c>
      <c r="H725" t="str">
        <f t="shared" si="59"/>
        <v>EC14</v>
      </c>
      <c r="I725" t="str">
        <f>_xlfn.XLOOKUP(H725,eci_admgz_adm1!D:D,eci_admgz_adm1!C:C)</f>
        <v>Morona Santiago</v>
      </c>
      <c r="J725" t="s">
        <v>2021</v>
      </c>
      <c r="K725" s="1" t="s">
        <v>2023</v>
      </c>
    </row>
    <row r="726" spans="1:11" ht="16" x14ac:dyDescent="0.2">
      <c r="A726" t="s">
        <v>1382</v>
      </c>
      <c r="B726" t="s">
        <v>180</v>
      </c>
      <c r="C726" t="str">
        <f t="shared" si="56"/>
        <v>Asunción</v>
      </c>
      <c r="D726" t="str">
        <f t="shared" si="55"/>
        <v>Asunción</v>
      </c>
      <c r="E726" t="str">
        <f t="shared" si="57"/>
        <v>EC140651</v>
      </c>
      <c r="F726" t="str">
        <f>_xlfn.XLOOKUP(G726,ecu_admgz_adm2!D:D,ecu_admgz_adm2!C:C)</f>
        <v>Sucúa</v>
      </c>
      <c r="G726" t="str">
        <f t="shared" si="58"/>
        <v>EC1406</v>
      </c>
      <c r="H726" t="str">
        <f t="shared" si="59"/>
        <v>EC14</v>
      </c>
      <c r="I726" t="str">
        <f>_xlfn.XLOOKUP(H726,eci_admgz_adm1!D:D,eci_admgz_adm1!C:C)</f>
        <v>Morona Santiago</v>
      </c>
      <c r="J726" t="s">
        <v>2021</v>
      </c>
      <c r="K726" s="1" t="s">
        <v>2023</v>
      </c>
    </row>
    <row r="727" spans="1:11" ht="16" x14ac:dyDescent="0.2">
      <c r="A727" t="s">
        <v>1383</v>
      </c>
      <c r="B727" t="s">
        <v>1384</v>
      </c>
      <c r="C727" t="str">
        <f t="shared" si="56"/>
        <v>Huambi</v>
      </c>
      <c r="D727" t="str">
        <f t="shared" si="55"/>
        <v>Huambi</v>
      </c>
      <c r="E727" t="str">
        <f t="shared" si="57"/>
        <v>EC140652</v>
      </c>
      <c r="F727" t="str">
        <f>_xlfn.XLOOKUP(G727,ecu_admgz_adm2!D:D,ecu_admgz_adm2!C:C)</f>
        <v>Sucúa</v>
      </c>
      <c r="G727" t="str">
        <f t="shared" si="58"/>
        <v>EC1406</v>
      </c>
      <c r="H727" t="str">
        <f t="shared" si="59"/>
        <v>EC14</v>
      </c>
      <c r="I727" t="str">
        <f>_xlfn.XLOOKUP(H727,eci_admgz_adm1!D:D,eci_admgz_adm1!C:C)</f>
        <v>Morona Santiago</v>
      </c>
      <c r="J727" t="s">
        <v>2021</v>
      </c>
      <c r="K727" s="1" t="s">
        <v>2023</v>
      </c>
    </row>
    <row r="728" spans="1:11" ht="16" x14ac:dyDescent="0.2">
      <c r="A728" t="s">
        <v>1385</v>
      </c>
      <c r="B728" t="s">
        <v>1386</v>
      </c>
      <c r="C728" t="str">
        <f t="shared" si="56"/>
        <v>Santa Marianita De Jesús</v>
      </c>
      <c r="D728" t="str">
        <f t="shared" si="55"/>
        <v>Santa Marianita de Jesús</v>
      </c>
      <c r="E728" t="str">
        <f t="shared" si="57"/>
        <v>EC140655</v>
      </c>
      <c r="F728" t="str">
        <f>_xlfn.XLOOKUP(G728,ecu_admgz_adm2!D:D,ecu_admgz_adm2!C:C)</f>
        <v>Sucúa</v>
      </c>
      <c r="G728" t="str">
        <f t="shared" si="58"/>
        <v>EC1406</v>
      </c>
      <c r="H728" t="str">
        <f t="shared" si="59"/>
        <v>EC14</v>
      </c>
      <c r="I728" t="str">
        <f>_xlfn.XLOOKUP(H728,eci_admgz_adm1!D:D,eci_admgz_adm1!C:C)</f>
        <v>Morona Santiago</v>
      </c>
      <c r="J728" t="s">
        <v>2021</v>
      </c>
      <c r="K728" s="1" t="s">
        <v>2023</v>
      </c>
    </row>
    <row r="729" spans="1:11" ht="16" x14ac:dyDescent="0.2">
      <c r="A729" t="s">
        <v>1387</v>
      </c>
      <c r="B729" t="s">
        <v>1388</v>
      </c>
      <c r="C729" t="str">
        <f t="shared" si="56"/>
        <v>Huamboya</v>
      </c>
      <c r="D729" t="str">
        <f t="shared" si="55"/>
        <v>Huamboya</v>
      </c>
      <c r="E729" t="str">
        <f t="shared" si="57"/>
        <v>EC140750</v>
      </c>
      <c r="F729" t="str">
        <f>_xlfn.XLOOKUP(G729,ecu_admgz_adm2!D:D,ecu_admgz_adm2!C:C)</f>
        <v>Huamboya</v>
      </c>
      <c r="G729" t="str">
        <f t="shared" si="58"/>
        <v>EC1407</v>
      </c>
      <c r="H729" t="str">
        <f t="shared" si="59"/>
        <v>EC14</v>
      </c>
      <c r="I729" t="str">
        <f>_xlfn.XLOOKUP(H729,eci_admgz_adm1!D:D,eci_admgz_adm1!C:C)</f>
        <v>Morona Santiago</v>
      </c>
      <c r="J729" t="s">
        <v>2021</v>
      </c>
      <c r="K729" s="1" t="s">
        <v>2023</v>
      </c>
    </row>
    <row r="730" spans="1:11" ht="16" x14ac:dyDescent="0.2">
      <c r="A730" t="s">
        <v>1389</v>
      </c>
      <c r="B730" t="s">
        <v>1390</v>
      </c>
      <c r="C730" t="str">
        <f t="shared" si="56"/>
        <v>Chiguaza</v>
      </c>
      <c r="D730" t="str">
        <f t="shared" si="55"/>
        <v>Chiguaza</v>
      </c>
      <c r="E730" t="str">
        <f t="shared" si="57"/>
        <v>EC140751</v>
      </c>
      <c r="F730" t="str">
        <f>_xlfn.XLOOKUP(G730,ecu_admgz_adm2!D:D,ecu_admgz_adm2!C:C)</f>
        <v>Huamboya</v>
      </c>
      <c r="G730" t="str">
        <f t="shared" si="58"/>
        <v>EC1407</v>
      </c>
      <c r="H730" t="str">
        <f t="shared" si="59"/>
        <v>EC14</v>
      </c>
      <c r="I730" t="str">
        <f>_xlfn.XLOOKUP(H730,eci_admgz_adm1!D:D,eci_admgz_adm1!C:C)</f>
        <v>Morona Santiago</v>
      </c>
      <c r="J730" t="s">
        <v>2021</v>
      </c>
      <c r="K730" s="1" t="s">
        <v>2023</v>
      </c>
    </row>
    <row r="731" spans="1:11" ht="16" x14ac:dyDescent="0.2">
      <c r="A731" t="s">
        <v>1391</v>
      </c>
      <c r="B731" t="s">
        <v>1392</v>
      </c>
      <c r="C731" t="str">
        <f t="shared" si="56"/>
        <v>San Juan Bosco</v>
      </c>
      <c r="D731" t="str">
        <f t="shared" si="55"/>
        <v>San Juan Bosco</v>
      </c>
      <c r="E731" t="str">
        <f t="shared" si="57"/>
        <v>EC140850</v>
      </c>
      <c r="F731" t="str">
        <f>_xlfn.XLOOKUP(G731,ecu_admgz_adm2!D:D,ecu_admgz_adm2!C:C)</f>
        <v>San Juan Bosco</v>
      </c>
      <c r="G731" t="str">
        <f t="shared" si="58"/>
        <v>EC1408</v>
      </c>
      <c r="H731" t="str">
        <f t="shared" si="59"/>
        <v>EC14</v>
      </c>
      <c r="I731" t="str">
        <f>_xlfn.XLOOKUP(H731,eci_admgz_adm1!D:D,eci_admgz_adm1!C:C)</f>
        <v>Morona Santiago</v>
      </c>
      <c r="J731" t="s">
        <v>2021</v>
      </c>
      <c r="K731" s="1" t="s">
        <v>2023</v>
      </c>
    </row>
    <row r="732" spans="1:11" ht="16" x14ac:dyDescent="0.2">
      <c r="A732" t="s">
        <v>1393</v>
      </c>
      <c r="B732" t="s">
        <v>1394</v>
      </c>
      <c r="C732" t="str">
        <f t="shared" si="56"/>
        <v>Pan De Azúcar</v>
      </c>
      <c r="D732" t="str">
        <f t="shared" si="55"/>
        <v>Pan de Azúcar</v>
      </c>
      <c r="E732" t="str">
        <f t="shared" si="57"/>
        <v>EC140851</v>
      </c>
      <c r="F732" t="str">
        <f>_xlfn.XLOOKUP(G732,ecu_admgz_adm2!D:D,ecu_admgz_adm2!C:C)</f>
        <v>San Juan Bosco</v>
      </c>
      <c r="G732" t="str">
        <f t="shared" si="58"/>
        <v>EC1408</v>
      </c>
      <c r="H732" t="str">
        <f t="shared" si="59"/>
        <v>EC14</v>
      </c>
      <c r="I732" t="str">
        <f>_xlfn.XLOOKUP(H732,eci_admgz_adm1!D:D,eci_admgz_adm1!C:C)</f>
        <v>Morona Santiago</v>
      </c>
      <c r="J732" t="s">
        <v>2021</v>
      </c>
      <c r="K732" s="1" t="s">
        <v>2023</v>
      </c>
    </row>
    <row r="733" spans="1:11" ht="16" x14ac:dyDescent="0.2">
      <c r="A733" t="s">
        <v>1395</v>
      </c>
      <c r="B733" t="s">
        <v>1396</v>
      </c>
      <c r="C733" t="str">
        <f t="shared" si="56"/>
        <v>San Carlos De Limón</v>
      </c>
      <c r="D733" t="str">
        <f t="shared" si="55"/>
        <v>San Carlos de Limón</v>
      </c>
      <c r="E733" t="str">
        <f t="shared" si="57"/>
        <v>EC140852</v>
      </c>
      <c r="F733" t="str">
        <f>_xlfn.XLOOKUP(G733,ecu_admgz_adm2!D:D,ecu_admgz_adm2!C:C)</f>
        <v>San Juan Bosco</v>
      </c>
      <c r="G733" t="str">
        <f t="shared" si="58"/>
        <v>EC1408</v>
      </c>
      <c r="H733" t="str">
        <f t="shared" si="59"/>
        <v>EC14</v>
      </c>
      <c r="I733" t="str">
        <f>_xlfn.XLOOKUP(H733,eci_admgz_adm1!D:D,eci_admgz_adm1!C:C)</f>
        <v>Morona Santiago</v>
      </c>
      <c r="J733" t="s">
        <v>2021</v>
      </c>
      <c r="K733" s="1" t="s">
        <v>2023</v>
      </c>
    </row>
    <row r="734" spans="1:11" ht="16" x14ac:dyDescent="0.2">
      <c r="A734" t="s">
        <v>1397</v>
      </c>
      <c r="B734" t="s">
        <v>1398</v>
      </c>
      <c r="C734" t="str">
        <f t="shared" si="56"/>
        <v>San Jacinto De Wakambeis</v>
      </c>
      <c r="D734" t="str">
        <f t="shared" si="55"/>
        <v>San Jacinto de Wakambeis</v>
      </c>
      <c r="E734" t="str">
        <f t="shared" si="57"/>
        <v>EC140853</v>
      </c>
      <c r="F734" t="str">
        <f>_xlfn.XLOOKUP(G734,ecu_admgz_adm2!D:D,ecu_admgz_adm2!C:C)</f>
        <v>San Juan Bosco</v>
      </c>
      <c r="G734" t="str">
        <f t="shared" si="58"/>
        <v>EC1408</v>
      </c>
      <c r="H734" t="str">
        <f t="shared" si="59"/>
        <v>EC14</v>
      </c>
      <c r="I734" t="str">
        <f>_xlfn.XLOOKUP(H734,eci_admgz_adm1!D:D,eci_admgz_adm1!C:C)</f>
        <v>Morona Santiago</v>
      </c>
      <c r="J734" t="s">
        <v>2021</v>
      </c>
      <c r="K734" s="1" t="s">
        <v>2023</v>
      </c>
    </row>
    <row r="735" spans="1:11" ht="16" x14ac:dyDescent="0.2">
      <c r="A735" t="s">
        <v>1399</v>
      </c>
      <c r="B735" t="s">
        <v>1400</v>
      </c>
      <c r="C735" t="str">
        <f t="shared" si="56"/>
        <v>Santiago De Pananza</v>
      </c>
      <c r="D735" t="str">
        <f t="shared" si="55"/>
        <v>Santiago de Pananza</v>
      </c>
      <c r="E735" t="str">
        <f t="shared" si="57"/>
        <v>EC140854</v>
      </c>
      <c r="F735" t="str">
        <f>_xlfn.XLOOKUP(G735,ecu_admgz_adm2!D:D,ecu_admgz_adm2!C:C)</f>
        <v>San Juan Bosco</v>
      </c>
      <c r="G735" t="str">
        <f t="shared" si="58"/>
        <v>EC1408</v>
      </c>
      <c r="H735" t="str">
        <f t="shared" si="59"/>
        <v>EC14</v>
      </c>
      <c r="I735" t="str">
        <f>_xlfn.XLOOKUP(H735,eci_admgz_adm1!D:D,eci_admgz_adm1!C:C)</f>
        <v>Morona Santiago</v>
      </c>
      <c r="J735" t="s">
        <v>2021</v>
      </c>
      <c r="K735" s="1" t="s">
        <v>2023</v>
      </c>
    </row>
    <row r="736" spans="1:11" ht="16" x14ac:dyDescent="0.2">
      <c r="A736" t="s">
        <v>1401</v>
      </c>
      <c r="B736" t="s">
        <v>1402</v>
      </c>
      <c r="C736" t="str">
        <f t="shared" si="56"/>
        <v>Taisha</v>
      </c>
      <c r="D736" t="str">
        <f t="shared" si="55"/>
        <v>Taisha</v>
      </c>
      <c r="E736" t="str">
        <f t="shared" si="57"/>
        <v>EC140950</v>
      </c>
      <c r="F736" t="str">
        <f>_xlfn.XLOOKUP(G736,ecu_admgz_adm2!D:D,ecu_admgz_adm2!C:C)</f>
        <v>Taisha</v>
      </c>
      <c r="G736" t="str">
        <f t="shared" si="58"/>
        <v>EC1409</v>
      </c>
      <c r="H736" t="str">
        <f t="shared" si="59"/>
        <v>EC14</v>
      </c>
      <c r="I736" t="str">
        <f>_xlfn.XLOOKUP(H736,eci_admgz_adm1!D:D,eci_admgz_adm1!C:C)</f>
        <v>Morona Santiago</v>
      </c>
      <c r="J736" t="s">
        <v>2021</v>
      </c>
      <c r="K736" s="1" t="s">
        <v>2023</v>
      </c>
    </row>
    <row r="737" spans="1:11" ht="16" x14ac:dyDescent="0.2">
      <c r="A737" t="s">
        <v>1403</v>
      </c>
      <c r="B737" t="s">
        <v>1404</v>
      </c>
      <c r="C737" t="str">
        <f t="shared" si="56"/>
        <v>Huasaga</v>
      </c>
      <c r="D737" t="str">
        <f t="shared" si="55"/>
        <v>Huasaga</v>
      </c>
      <c r="E737" t="str">
        <f t="shared" si="57"/>
        <v>EC140951</v>
      </c>
      <c r="F737" t="str">
        <f>_xlfn.XLOOKUP(G737,ecu_admgz_adm2!D:D,ecu_admgz_adm2!C:C)</f>
        <v>Taisha</v>
      </c>
      <c r="G737" t="str">
        <f t="shared" si="58"/>
        <v>EC1409</v>
      </c>
      <c r="H737" t="str">
        <f t="shared" si="59"/>
        <v>EC14</v>
      </c>
      <c r="I737" t="str">
        <f>_xlfn.XLOOKUP(H737,eci_admgz_adm1!D:D,eci_admgz_adm1!C:C)</f>
        <v>Morona Santiago</v>
      </c>
      <c r="J737" t="s">
        <v>2021</v>
      </c>
      <c r="K737" s="1" t="s">
        <v>2023</v>
      </c>
    </row>
    <row r="738" spans="1:11" ht="16" x14ac:dyDescent="0.2">
      <c r="A738" t="s">
        <v>1405</v>
      </c>
      <c r="B738" t="s">
        <v>1406</v>
      </c>
      <c r="C738" t="str">
        <f t="shared" si="56"/>
        <v>Macuma</v>
      </c>
      <c r="D738" t="str">
        <f t="shared" si="55"/>
        <v>Macuma</v>
      </c>
      <c r="E738" t="str">
        <f t="shared" si="57"/>
        <v>EC140952</v>
      </c>
      <c r="F738" t="str">
        <f>_xlfn.XLOOKUP(G738,ecu_admgz_adm2!D:D,ecu_admgz_adm2!C:C)</f>
        <v>Taisha</v>
      </c>
      <c r="G738" t="str">
        <f t="shared" si="58"/>
        <v>EC1409</v>
      </c>
      <c r="H738" t="str">
        <f t="shared" si="59"/>
        <v>EC14</v>
      </c>
      <c r="I738" t="str">
        <f>_xlfn.XLOOKUP(H738,eci_admgz_adm1!D:D,eci_admgz_adm1!C:C)</f>
        <v>Morona Santiago</v>
      </c>
      <c r="J738" t="s">
        <v>2021</v>
      </c>
      <c r="K738" s="1" t="s">
        <v>2023</v>
      </c>
    </row>
    <row r="739" spans="1:11" ht="16" x14ac:dyDescent="0.2">
      <c r="A739" t="s">
        <v>1407</v>
      </c>
      <c r="B739" t="s">
        <v>1408</v>
      </c>
      <c r="C739" t="str">
        <f t="shared" si="56"/>
        <v>Tuutinentsa</v>
      </c>
      <c r="D739" t="str">
        <f t="shared" si="55"/>
        <v>Tuutinentsa</v>
      </c>
      <c r="E739" t="str">
        <f t="shared" si="57"/>
        <v>EC140953</v>
      </c>
      <c r="F739" t="str">
        <f>_xlfn.XLOOKUP(G739,ecu_admgz_adm2!D:D,ecu_admgz_adm2!C:C)</f>
        <v>Taisha</v>
      </c>
      <c r="G739" t="str">
        <f t="shared" si="58"/>
        <v>EC1409</v>
      </c>
      <c r="H739" t="str">
        <f t="shared" si="59"/>
        <v>EC14</v>
      </c>
      <c r="I739" t="str">
        <f>_xlfn.XLOOKUP(H739,eci_admgz_adm1!D:D,eci_admgz_adm1!C:C)</f>
        <v>Morona Santiago</v>
      </c>
      <c r="J739" t="s">
        <v>2021</v>
      </c>
      <c r="K739" s="1" t="s">
        <v>2023</v>
      </c>
    </row>
    <row r="740" spans="1:11" ht="16" x14ac:dyDescent="0.2">
      <c r="A740" t="s">
        <v>1409</v>
      </c>
      <c r="B740" t="s">
        <v>1410</v>
      </c>
      <c r="C740" t="str">
        <f t="shared" si="56"/>
        <v>Pumpuentsa</v>
      </c>
      <c r="D740" t="str">
        <f t="shared" si="55"/>
        <v>Pumpuentsa</v>
      </c>
      <c r="E740" t="str">
        <f t="shared" si="57"/>
        <v>EC140954</v>
      </c>
      <c r="F740" t="str">
        <f>_xlfn.XLOOKUP(G740,ecu_admgz_adm2!D:D,ecu_admgz_adm2!C:C)</f>
        <v>Taisha</v>
      </c>
      <c r="G740" t="str">
        <f t="shared" si="58"/>
        <v>EC1409</v>
      </c>
      <c r="H740" t="str">
        <f t="shared" si="59"/>
        <v>EC14</v>
      </c>
      <c r="I740" t="str">
        <f>_xlfn.XLOOKUP(H740,eci_admgz_adm1!D:D,eci_admgz_adm1!C:C)</f>
        <v>Morona Santiago</v>
      </c>
      <c r="J740" t="s">
        <v>2021</v>
      </c>
      <c r="K740" s="1" t="s">
        <v>2023</v>
      </c>
    </row>
    <row r="741" spans="1:11" ht="16" x14ac:dyDescent="0.2">
      <c r="A741" t="s">
        <v>1411</v>
      </c>
      <c r="B741" t="s">
        <v>1412</v>
      </c>
      <c r="C741" t="str">
        <f t="shared" si="56"/>
        <v>Logroño</v>
      </c>
      <c r="D741" t="str">
        <f t="shared" si="55"/>
        <v>Logroño</v>
      </c>
      <c r="E741" t="str">
        <f t="shared" si="57"/>
        <v>EC141050</v>
      </c>
      <c r="F741" t="str">
        <f>_xlfn.XLOOKUP(G741,ecu_admgz_adm2!D:D,ecu_admgz_adm2!C:C)</f>
        <v>Logroño</v>
      </c>
      <c r="G741" t="str">
        <f t="shared" si="58"/>
        <v>EC1410</v>
      </c>
      <c r="H741" t="str">
        <f t="shared" si="59"/>
        <v>EC14</v>
      </c>
      <c r="I741" t="str">
        <f>_xlfn.XLOOKUP(H741,eci_admgz_adm1!D:D,eci_admgz_adm1!C:C)</f>
        <v>Morona Santiago</v>
      </c>
      <c r="J741" t="s">
        <v>2021</v>
      </c>
      <c r="K741" s="1" t="s">
        <v>2023</v>
      </c>
    </row>
    <row r="742" spans="1:11" ht="16" x14ac:dyDescent="0.2">
      <c r="A742" t="s">
        <v>1413</v>
      </c>
      <c r="B742" t="s">
        <v>1414</v>
      </c>
      <c r="C742" t="str">
        <f t="shared" si="56"/>
        <v>Yaupi</v>
      </c>
      <c r="D742" t="str">
        <f t="shared" si="55"/>
        <v>Yaupi</v>
      </c>
      <c r="E742" t="str">
        <f t="shared" si="57"/>
        <v>EC141051</v>
      </c>
      <c r="F742" t="str">
        <f>_xlfn.XLOOKUP(G742,ecu_admgz_adm2!D:D,ecu_admgz_adm2!C:C)</f>
        <v>Logroño</v>
      </c>
      <c r="G742" t="str">
        <f t="shared" si="58"/>
        <v>EC1410</v>
      </c>
      <c r="H742" t="str">
        <f t="shared" si="59"/>
        <v>EC14</v>
      </c>
      <c r="I742" t="str">
        <f>_xlfn.XLOOKUP(H742,eci_admgz_adm1!D:D,eci_admgz_adm1!C:C)</f>
        <v>Morona Santiago</v>
      </c>
      <c r="J742" t="s">
        <v>2021</v>
      </c>
      <c r="K742" s="1" t="s">
        <v>2023</v>
      </c>
    </row>
    <row r="743" spans="1:11" ht="16" x14ac:dyDescent="0.2">
      <c r="A743" t="s">
        <v>1415</v>
      </c>
      <c r="B743" t="s">
        <v>1416</v>
      </c>
      <c r="C743" t="str">
        <f t="shared" si="56"/>
        <v>Shimpis</v>
      </c>
      <c r="D743" t="str">
        <f t="shared" si="55"/>
        <v>Shimpis</v>
      </c>
      <c r="E743" t="str">
        <f t="shared" si="57"/>
        <v>EC141052</v>
      </c>
      <c r="F743" t="str">
        <f>_xlfn.XLOOKUP(G743,ecu_admgz_adm2!D:D,ecu_admgz_adm2!C:C)</f>
        <v>Logroño</v>
      </c>
      <c r="G743" t="str">
        <f t="shared" si="58"/>
        <v>EC1410</v>
      </c>
      <c r="H743" t="str">
        <f t="shared" si="59"/>
        <v>EC14</v>
      </c>
      <c r="I743" t="str">
        <f>_xlfn.XLOOKUP(H743,eci_admgz_adm1!D:D,eci_admgz_adm1!C:C)</f>
        <v>Morona Santiago</v>
      </c>
      <c r="J743" t="s">
        <v>2021</v>
      </c>
      <c r="K743" s="1" t="s">
        <v>2023</v>
      </c>
    </row>
    <row r="744" spans="1:11" ht="16" x14ac:dyDescent="0.2">
      <c r="A744" t="s">
        <v>1417</v>
      </c>
      <c r="B744" t="s">
        <v>1418</v>
      </c>
      <c r="C744" t="str">
        <f t="shared" si="56"/>
        <v>Pablo Sexto</v>
      </c>
      <c r="D744" t="str">
        <f t="shared" si="55"/>
        <v>Pablo Sexto</v>
      </c>
      <c r="E744" t="str">
        <f t="shared" si="57"/>
        <v>EC141150</v>
      </c>
      <c r="F744" t="str">
        <f>_xlfn.XLOOKUP(G744,ecu_admgz_adm2!D:D,ecu_admgz_adm2!C:C)</f>
        <v>Pablo Sexto</v>
      </c>
      <c r="G744" t="str">
        <f t="shared" si="58"/>
        <v>EC1411</v>
      </c>
      <c r="H744" t="str">
        <f t="shared" si="59"/>
        <v>EC14</v>
      </c>
      <c r="I744" t="str">
        <f>_xlfn.XLOOKUP(H744,eci_admgz_adm1!D:D,eci_admgz_adm1!C:C)</f>
        <v>Morona Santiago</v>
      </c>
      <c r="J744" t="s">
        <v>2021</v>
      </c>
      <c r="K744" s="1" t="s">
        <v>2023</v>
      </c>
    </row>
    <row r="745" spans="1:11" ht="16" x14ac:dyDescent="0.2">
      <c r="A745" t="s">
        <v>1419</v>
      </c>
      <c r="B745" t="s">
        <v>200</v>
      </c>
      <c r="C745" t="str">
        <f t="shared" si="56"/>
        <v>Santiago</v>
      </c>
      <c r="D745" t="str">
        <f t="shared" si="55"/>
        <v>Santiago</v>
      </c>
      <c r="E745" t="str">
        <f t="shared" si="57"/>
        <v>EC141250</v>
      </c>
      <c r="F745" t="str">
        <f>_xlfn.XLOOKUP(G745,ecu_admgz_adm2!D:D,ecu_admgz_adm2!C:C)</f>
        <v>Tiwintza</v>
      </c>
      <c r="G745" t="str">
        <f t="shared" si="58"/>
        <v>EC1412</v>
      </c>
      <c r="H745" t="str">
        <f t="shared" si="59"/>
        <v>EC14</v>
      </c>
      <c r="I745" t="str">
        <f>_xlfn.XLOOKUP(H745,eci_admgz_adm1!D:D,eci_admgz_adm1!C:C)</f>
        <v>Morona Santiago</v>
      </c>
      <c r="J745" t="s">
        <v>2021</v>
      </c>
      <c r="K745" s="1" t="s">
        <v>2023</v>
      </c>
    </row>
    <row r="746" spans="1:11" ht="16" x14ac:dyDescent="0.2">
      <c r="A746" t="s">
        <v>1420</v>
      </c>
      <c r="B746" t="s">
        <v>1421</v>
      </c>
      <c r="C746" t="str">
        <f t="shared" si="56"/>
        <v>San José De Morona</v>
      </c>
      <c r="D746" t="str">
        <f t="shared" si="55"/>
        <v>San José de Morona</v>
      </c>
      <c r="E746" t="str">
        <f t="shared" si="57"/>
        <v>EC141251</v>
      </c>
      <c r="F746" t="str">
        <f>_xlfn.XLOOKUP(G746,ecu_admgz_adm2!D:D,ecu_admgz_adm2!C:C)</f>
        <v>Tiwintza</v>
      </c>
      <c r="G746" t="str">
        <f t="shared" si="58"/>
        <v>EC1412</v>
      </c>
      <c r="H746" t="str">
        <f t="shared" si="59"/>
        <v>EC14</v>
      </c>
      <c r="I746" t="str">
        <f>_xlfn.XLOOKUP(H746,eci_admgz_adm1!D:D,eci_admgz_adm1!C:C)</f>
        <v>Morona Santiago</v>
      </c>
      <c r="J746" t="s">
        <v>2021</v>
      </c>
      <c r="K746" s="1" t="s">
        <v>2023</v>
      </c>
    </row>
    <row r="747" spans="1:11" ht="16" x14ac:dyDescent="0.2">
      <c r="A747" t="s">
        <v>1422</v>
      </c>
      <c r="B747" t="s">
        <v>1423</v>
      </c>
      <c r="C747" t="str">
        <f t="shared" si="56"/>
        <v>Tena</v>
      </c>
      <c r="D747" t="str">
        <f t="shared" si="55"/>
        <v>Tena</v>
      </c>
      <c r="E747" t="str">
        <f t="shared" si="57"/>
        <v>EC150150</v>
      </c>
      <c r="F747" t="str">
        <f>_xlfn.XLOOKUP(G747,ecu_admgz_adm2!D:D,ecu_admgz_adm2!C:C)</f>
        <v>Tena</v>
      </c>
      <c r="G747" t="str">
        <f t="shared" si="58"/>
        <v>EC1501</v>
      </c>
      <c r="H747" t="str">
        <f t="shared" si="59"/>
        <v>EC15</v>
      </c>
      <c r="I747" t="str">
        <f>_xlfn.XLOOKUP(H747,eci_admgz_adm1!D:D,eci_admgz_adm1!C:C)</f>
        <v>Napo</v>
      </c>
      <c r="J747" t="s">
        <v>2021</v>
      </c>
      <c r="K747" s="1" t="s">
        <v>2023</v>
      </c>
    </row>
    <row r="748" spans="1:11" ht="16" x14ac:dyDescent="0.2">
      <c r="A748" t="s">
        <v>1424</v>
      </c>
      <c r="B748" t="s">
        <v>1425</v>
      </c>
      <c r="C748" t="str">
        <f t="shared" si="56"/>
        <v>Ahuano</v>
      </c>
      <c r="D748" t="str">
        <f t="shared" si="55"/>
        <v>Ahuano</v>
      </c>
      <c r="E748" t="str">
        <f t="shared" si="57"/>
        <v>EC150151</v>
      </c>
      <c r="F748" t="str">
        <f>_xlfn.XLOOKUP(G748,ecu_admgz_adm2!D:D,ecu_admgz_adm2!C:C)</f>
        <v>Tena</v>
      </c>
      <c r="G748" t="str">
        <f t="shared" si="58"/>
        <v>EC1501</v>
      </c>
      <c r="H748" t="str">
        <f t="shared" si="59"/>
        <v>EC15</v>
      </c>
      <c r="I748" t="str">
        <f>_xlfn.XLOOKUP(H748,eci_admgz_adm1!D:D,eci_admgz_adm1!C:C)</f>
        <v>Napo</v>
      </c>
      <c r="J748" t="s">
        <v>2021</v>
      </c>
      <c r="K748" s="1" t="s">
        <v>2023</v>
      </c>
    </row>
    <row r="749" spans="1:11" ht="16" x14ac:dyDescent="0.2">
      <c r="A749" t="s">
        <v>1426</v>
      </c>
      <c r="B749" t="s">
        <v>1427</v>
      </c>
      <c r="C749" t="str">
        <f t="shared" si="56"/>
        <v>Chontapunta</v>
      </c>
      <c r="D749" t="str">
        <f t="shared" si="55"/>
        <v>Chontapunta</v>
      </c>
      <c r="E749" t="str">
        <f t="shared" si="57"/>
        <v>EC150153</v>
      </c>
      <c r="F749" t="str">
        <f>_xlfn.XLOOKUP(G749,ecu_admgz_adm2!D:D,ecu_admgz_adm2!C:C)</f>
        <v>Tena</v>
      </c>
      <c r="G749" t="str">
        <f t="shared" si="58"/>
        <v>EC1501</v>
      </c>
      <c r="H749" t="str">
        <f t="shared" si="59"/>
        <v>EC15</v>
      </c>
      <c r="I749" t="str">
        <f>_xlfn.XLOOKUP(H749,eci_admgz_adm1!D:D,eci_admgz_adm1!C:C)</f>
        <v>Napo</v>
      </c>
      <c r="J749" t="s">
        <v>2021</v>
      </c>
      <c r="K749" s="1" t="s">
        <v>2023</v>
      </c>
    </row>
    <row r="750" spans="1:11" ht="16" x14ac:dyDescent="0.2">
      <c r="A750" t="s">
        <v>1428</v>
      </c>
      <c r="B750" t="s">
        <v>1429</v>
      </c>
      <c r="C750" t="str">
        <f t="shared" si="56"/>
        <v>Pano</v>
      </c>
      <c r="D750" t="str">
        <f t="shared" si="55"/>
        <v>Pano</v>
      </c>
      <c r="E750" t="str">
        <f t="shared" si="57"/>
        <v>EC150154</v>
      </c>
      <c r="F750" t="str">
        <f>_xlfn.XLOOKUP(G750,ecu_admgz_adm2!D:D,ecu_admgz_adm2!C:C)</f>
        <v>Tena</v>
      </c>
      <c r="G750" t="str">
        <f t="shared" si="58"/>
        <v>EC1501</v>
      </c>
      <c r="H750" t="str">
        <f t="shared" si="59"/>
        <v>EC15</v>
      </c>
      <c r="I750" t="str">
        <f>_xlfn.XLOOKUP(H750,eci_admgz_adm1!D:D,eci_admgz_adm1!C:C)</f>
        <v>Napo</v>
      </c>
      <c r="J750" t="s">
        <v>2021</v>
      </c>
      <c r="K750" s="1" t="s">
        <v>2023</v>
      </c>
    </row>
    <row r="751" spans="1:11" ht="16" x14ac:dyDescent="0.2">
      <c r="A751" t="s">
        <v>1430</v>
      </c>
      <c r="B751" t="s">
        <v>1431</v>
      </c>
      <c r="C751" t="str">
        <f t="shared" si="56"/>
        <v>Puerto Misahuallí</v>
      </c>
      <c r="D751" t="str">
        <f t="shared" si="55"/>
        <v>Puerto Misahuallí</v>
      </c>
      <c r="E751" t="str">
        <f t="shared" si="57"/>
        <v>EC150155</v>
      </c>
      <c r="F751" t="str">
        <f>_xlfn.XLOOKUP(G751,ecu_admgz_adm2!D:D,ecu_admgz_adm2!C:C)</f>
        <v>Tena</v>
      </c>
      <c r="G751" t="str">
        <f t="shared" si="58"/>
        <v>EC1501</v>
      </c>
      <c r="H751" t="str">
        <f t="shared" si="59"/>
        <v>EC15</v>
      </c>
      <c r="I751" t="str">
        <f>_xlfn.XLOOKUP(H751,eci_admgz_adm1!D:D,eci_admgz_adm1!C:C)</f>
        <v>Napo</v>
      </c>
      <c r="J751" t="s">
        <v>2021</v>
      </c>
      <c r="K751" s="1" t="s">
        <v>2023</v>
      </c>
    </row>
    <row r="752" spans="1:11" ht="16" x14ac:dyDescent="0.2">
      <c r="A752" t="s">
        <v>1432</v>
      </c>
      <c r="B752" t="s">
        <v>1433</v>
      </c>
      <c r="C752" t="str">
        <f t="shared" si="56"/>
        <v>Puerto Napo</v>
      </c>
      <c r="D752" t="str">
        <f t="shared" si="55"/>
        <v>Puerto Napo</v>
      </c>
      <c r="E752" t="str">
        <f t="shared" si="57"/>
        <v>EC150156</v>
      </c>
      <c r="F752" t="str">
        <f>_xlfn.XLOOKUP(G752,ecu_admgz_adm2!D:D,ecu_admgz_adm2!C:C)</f>
        <v>Tena</v>
      </c>
      <c r="G752" t="str">
        <f t="shared" si="58"/>
        <v>EC1501</v>
      </c>
      <c r="H752" t="str">
        <f t="shared" si="59"/>
        <v>EC15</v>
      </c>
      <c r="I752" t="str">
        <f>_xlfn.XLOOKUP(H752,eci_admgz_adm1!D:D,eci_admgz_adm1!C:C)</f>
        <v>Napo</v>
      </c>
      <c r="J752" t="s">
        <v>2021</v>
      </c>
      <c r="K752" s="1" t="s">
        <v>2023</v>
      </c>
    </row>
    <row r="753" spans="1:11" ht="16" x14ac:dyDescent="0.2">
      <c r="A753" t="s">
        <v>1434</v>
      </c>
      <c r="B753" t="s">
        <v>1435</v>
      </c>
      <c r="C753" t="str">
        <f t="shared" si="56"/>
        <v>Tálag</v>
      </c>
      <c r="D753" t="str">
        <f t="shared" si="55"/>
        <v>Tálag</v>
      </c>
      <c r="E753" t="str">
        <f t="shared" si="57"/>
        <v>EC150157</v>
      </c>
      <c r="F753" t="str">
        <f>_xlfn.XLOOKUP(G753,ecu_admgz_adm2!D:D,ecu_admgz_adm2!C:C)</f>
        <v>Tena</v>
      </c>
      <c r="G753" t="str">
        <f t="shared" si="58"/>
        <v>EC1501</v>
      </c>
      <c r="H753" t="str">
        <f t="shared" si="59"/>
        <v>EC15</v>
      </c>
      <c r="I753" t="str">
        <f>_xlfn.XLOOKUP(H753,eci_admgz_adm1!D:D,eci_admgz_adm1!C:C)</f>
        <v>Napo</v>
      </c>
      <c r="J753" t="s">
        <v>2021</v>
      </c>
      <c r="K753" s="1" t="s">
        <v>2023</v>
      </c>
    </row>
    <row r="754" spans="1:11" ht="16" x14ac:dyDescent="0.2">
      <c r="A754" t="s">
        <v>1436</v>
      </c>
      <c r="B754" t="s">
        <v>1437</v>
      </c>
      <c r="C754" t="str">
        <f t="shared" si="56"/>
        <v>San Juan De Muyuna</v>
      </c>
      <c r="D754" t="str">
        <f t="shared" si="55"/>
        <v>San Juan de Muyuna</v>
      </c>
      <c r="E754" t="str">
        <f t="shared" si="57"/>
        <v>EC150158</v>
      </c>
      <c r="F754" t="str">
        <f>_xlfn.XLOOKUP(G754,ecu_admgz_adm2!D:D,ecu_admgz_adm2!C:C)</f>
        <v>Tena</v>
      </c>
      <c r="G754" t="str">
        <f t="shared" si="58"/>
        <v>EC1501</v>
      </c>
      <c r="H754" t="str">
        <f t="shared" si="59"/>
        <v>EC15</v>
      </c>
      <c r="I754" t="str">
        <f>_xlfn.XLOOKUP(H754,eci_admgz_adm1!D:D,eci_admgz_adm1!C:C)</f>
        <v>Napo</v>
      </c>
      <c r="J754" t="s">
        <v>2021</v>
      </c>
      <c r="K754" s="1" t="s">
        <v>2023</v>
      </c>
    </row>
    <row r="755" spans="1:11" ht="16" x14ac:dyDescent="0.2">
      <c r="A755" t="s">
        <v>1438</v>
      </c>
      <c r="B755" t="s">
        <v>1439</v>
      </c>
      <c r="C755" t="str">
        <f t="shared" si="56"/>
        <v>Archidona</v>
      </c>
      <c r="D755" t="str">
        <f t="shared" si="55"/>
        <v>Archidona</v>
      </c>
      <c r="E755" t="str">
        <f t="shared" si="57"/>
        <v>EC150350</v>
      </c>
      <c r="F755" t="str">
        <f>_xlfn.XLOOKUP(G755,ecu_admgz_adm2!D:D,ecu_admgz_adm2!C:C)</f>
        <v>Archidona</v>
      </c>
      <c r="G755" t="str">
        <f t="shared" si="58"/>
        <v>EC1503</v>
      </c>
      <c r="H755" t="str">
        <f t="shared" si="59"/>
        <v>EC15</v>
      </c>
      <c r="I755" t="str">
        <f>_xlfn.XLOOKUP(H755,eci_admgz_adm1!D:D,eci_admgz_adm1!C:C)</f>
        <v>Napo</v>
      </c>
      <c r="J755" t="s">
        <v>2021</v>
      </c>
      <c r="K755" s="1" t="s">
        <v>2023</v>
      </c>
    </row>
    <row r="756" spans="1:11" ht="16" x14ac:dyDescent="0.2">
      <c r="A756" t="s">
        <v>1440</v>
      </c>
      <c r="B756" t="s">
        <v>1441</v>
      </c>
      <c r="C756" t="str">
        <f t="shared" si="56"/>
        <v>Cotundo</v>
      </c>
      <c r="D756" t="str">
        <f t="shared" si="55"/>
        <v>Cotundo</v>
      </c>
      <c r="E756" t="str">
        <f t="shared" si="57"/>
        <v>EC150352</v>
      </c>
      <c r="F756" t="str">
        <f>_xlfn.XLOOKUP(G756,ecu_admgz_adm2!D:D,ecu_admgz_adm2!C:C)</f>
        <v>Archidona</v>
      </c>
      <c r="G756" t="str">
        <f t="shared" si="58"/>
        <v>EC1503</v>
      </c>
      <c r="H756" t="str">
        <f t="shared" si="59"/>
        <v>EC15</v>
      </c>
      <c r="I756" t="str">
        <f>_xlfn.XLOOKUP(H756,eci_admgz_adm1!D:D,eci_admgz_adm1!C:C)</f>
        <v>Napo</v>
      </c>
      <c r="J756" t="s">
        <v>2021</v>
      </c>
      <c r="K756" s="1" t="s">
        <v>2023</v>
      </c>
    </row>
    <row r="757" spans="1:11" ht="16" x14ac:dyDescent="0.2">
      <c r="A757" t="s">
        <v>1442</v>
      </c>
      <c r="B757" t="s">
        <v>1443</v>
      </c>
      <c r="C757" t="str">
        <f t="shared" si="56"/>
        <v>San Pablo De Ushpayacu</v>
      </c>
      <c r="D757" t="str">
        <f t="shared" si="55"/>
        <v>San Pablo de Ushpayacu</v>
      </c>
      <c r="E757" t="str">
        <f t="shared" si="57"/>
        <v>EC150354</v>
      </c>
      <c r="F757" t="str">
        <f>_xlfn.XLOOKUP(G757,ecu_admgz_adm2!D:D,ecu_admgz_adm2!C:C)</f>
        <v>Archidona</v>
      </c>
      <c r="G757" t="str">
        <f t="shared" si="58"/>
        <v>EC1503</v>
      </c>
      <c r="H757" t="str">
        <f t="shared" si="59"/>
        <v>EC15</v>
      </c>
      <c r="I757" t="str">
        <f>_xlfn.XLOOKUP(H757,eci_admgz_adm1!D:D,eci_admgz_adm1!C:C)</f>
        <v>Napo</v>
      </c>
      <c r="J757" t="s">
        <v>2021</v>
      </c>
      <c r="K757" s="1" t="s">
        <v>2023</v>
      </c>
    </row>
    <row r="758" spans="1:11" ht="16" x14ac:dyDescent="0.2">
      <c r="A758" t="s">
        <v>1444</v>
      </c>
      <c r="B758" t="s">
        <v>1445</v>
      </c>
      <c r="C758" t="str">
        <f t="shared" si="56"/>
        <v>Hatun Sumaku</v>
      </c>
      <c r="D758" t="str">
        <f t="shared" si="55"/>
        <v>Hatun Sumaku</v>
      </c>
      <c r="E758" t="str">
        <f t="shared" si="57"/>
        <v>EC150356</v>
      </c>
      <c r="F758" t="str">
        <f>_xlfn.XLOOKUP(G758,ecu_admgz_adm2!D:D,ecu_admgz_adm2!C:C)</f>
        <v>Archidona</v>
      </c>
      <c r="G758" t="str">
        <f t="shared" si="58"/>
        <v>EC1503</v>
      </c>
      <c r="H758" t="str">
        <f t="shared" si="59"/>
        <v>EC15</v>
      </c>
      <c r="I758" t="str">
        <f>_xlfn.XLOOKUP(H758,eci_admgz_adm1!D:D,eci_admgz_adm1!C:C)</f>
        <v>Napo</v>
      </c>
      <c r="J758" t="s">
        <v>2021</v>
      </c>
      <c r="K758" s="1" t="s">
        <v>2023</v>
      </c>
    </row>
    <row r="759" spans="1:11" ht="16" x14ac:dyDescent="0.2">
      <c r="A759" t="s">
        <v>1446</v>
      </c>
      <c r="B759" t="s">
        <v>1447</v>
      </c>
      <c r="C759" t="str">
        <f t="shared" si="56"/>
        <v>El Chaco</v>
      </c>
      <c r="D759" t="str">
        <f t="shared" si="55"/>
        <v>El Chaco</v>
      </c>
      <c r="E759" t="str">
        <f t="shared" si="57"/>
        <v>EC150450</v>
      </c>
      <c r="F759" t="str">
        <f>_xlfn.XLOOKUP(G759,ecu_admgz_adm2!D:D,ecu_admgz_adm2!C:C)</f>
        <v>El Chaco</v>
      </c>
      <c r="G759" t="str">
        <f t="shared" si="58"/>
        <v>EC1504</v>
      </c>
      <c r="H759" t="str">
        <f t="shared" si="59"/>
        <v>EC15</v>
      </c>
      <c r="I759" t="str">
        <f>_xlfn.XLOOKUP(H759,eci_admgz_adm1!D:D,eci_admgz_adm1!C:C)</f>
        <v>Napo</v>
      </c>
      <c r="J759" t="s">
        <v>2021</v>
      </c>
      <c r="K759" s="1" t="s">
        <v>2023</v>
      </c>
    </row>
    <row r="760" spans="1:11" ht="16" x14ac:dyDescent="0.2">
      <c r="A760" t="s">
        <v>1448</v>
      </c>
      <c r="B760" t="s">
        <v>1449</v>
      </c>
      <c r="C760" t="str">
        <f t="shared" si="56"/>
        <v>Gonzalo Díaz De Pineda</v>
      </c>
      <c r="D760" t="str">
        <f t="shared" si="55"/>
        <v>Gonzalo Díaz de Pineda</v>
      </c>
      <c r="E760" t="str">
        <f t="shared" si="57"/>
        <v>EC150451</v>
      </c>
      <c r="F760" t="str">
        <f>_xlfn.XLOOKUP(G760,ecu_admgz_adm2!D:D,ecu_admgz_adm2!C:C)</f>
        <v>El Chaco</v>
      </c>
      <c r="G760" t="str">
        <f t="shared" si="58"/>
        <v>EC1504</v>
      </c>
      <c r="H760" t="str">
        <f t="shared" si="59"/>
        <v>EC15</v>
      </c>
      <c r="I760" t="str">
        <f>_xlfn.XLOOKUP(H760,eci_admgz_adm1!D:D,eci_admgz_adm1!C:C)</f>
        <v>Napo</v>
      </c>
      <c r="J760" t="s">
        <v>2021</v>
      </c>
      <c r="K760" s="1" t="s">
        <v>2023</v>
      </c>
    </row>
    <row r="761" spans="1:11" ht="16" x14ac:dyDescent="0.2">
      <c r="A761" t="s">
        <v>1450</v>
      </c>
      <c r="B761" t="s">
        <v>1451</v>
      </c>
      <c r="C761" t="str">
        <f t="shared" si="56"/>
        <v>Linares</v>
      </c>
      <c r="D761" t="str">
        <f t="shared" si="55"/>
        <v>Linares</v>
      </c>
      <c r="E761" t="str">
        <f t="shared" si="57"/>
        <v>EC150452</v>
      </c>
      <c r="F761" t="str">
        <f>_xlfn.XLOOKUP(G761,ecu_admgz_adm2!D:D,ecu_admgz_adm2!C:C)</f>
        <v>El Chaco</v>
      </c>
      <c r="G761" t="str">
        <f t="shared" si="58"/>
        <v>EC1504</v>
      </c>
      <c r="H761" t="str">
        <f t="shared" si="59"/>
        <v>EC15</v>
      </c>
      <c r="I761" t="str">
        <f>_xlfn.XLOOKUP(H761,eci_admgz_adm1!D:D,eci_admgz_adm1!C:C)</f>
        <v>Napo</v>
      </c>
      <c r="J761" t="s">
        <v>2021</v>
      </c>
      <c r="K761" s="1" t="s">
        <v>2023</v>
      </c>
    </row>
    <row r="762" spans="1:11" ht="16" x14ac:dyDescent="0.2">
      <c r="A762" t="s">
        <v>1452</v>
      </c>
      <c r="B762" t="s">
        <v>1453</v>
      </c>
      <c r="C762" t="str">
        <f t="shared" si="56"/>
        <v>Oyacachi</v>
      </c>
      <c r="D762" t="str">
        <f t="shared" si="55"/>
        <v>Oyacachi</v>
      </c>
      <c r="E762" t="str">
        <f t="shared" si="57"/>
        <v>EC150453</v>
      </c>
      <c r="F762" t="str">
        <f>_xlfn.XLOOKUP(G762,ecu_admgz_adm2!D:D,ecu_admgz_adm2!C:C)</f>
        <v>El Chaco</v>
      </c>
      <c r="G762" t="str">
        <f t="shared" si="58"/>
        <v>EC1504</v>
      </c>
      <c r="H762" t="str">
        <f t="shared" si="59"/>
        <v>EC15</v>
      </c>
      <c r="I762" t="str">
        <f>_xlfn.XLOOKUP(H762,eci_admgz_adm1!D:D,eci_admgz_adm1!C:C)</f>
        <v>Napo</v>
      </c>
      <c r="J762" t="s">
        <v>2021</v>
      </c>
      <c r="K762" s="1" t="s">
        <v>2023</v>
      </c>
    </row>
    <row r="763" spans="1:11" ht="16" x14ac:dyDescent="0.2">
      <c r="A763" t="s">
        <v>1454</v>
      </c>
      <c r="B763" t="s">
        <v>606</v>
      </c>
      <c r="C763" t="str">
        <f t="shared" si="56"/>
        <v>Santa Rosa</v>
      </c>
      <c r="D763" t="str">
        <f t="shared" si="55"/>
        <v>Santa Rosa</v>
      </c>
      <c r="E763" t="str">
        <f t="shared" si="57"/>
        <v>EC150454</v>
      </c>
      <c r="F763" t="str">
        <f>_xlfn.XLOOKUP(G763,ecu_admgz_adm2!D:D,ecu_admgz_adm2!C:C)</f>
        <v>El Chaco</v>
      </c>
      <c r="G763" t="str">
        <f t="shared" si="58"/>
        <v>EC1504</v>
      </c>
      <c r="H763" t="str">
        <f t="shared" si="59"/>
        <v>EC15</v>
      </c>
      <c r="I763" t="str">
        <f>_xlfn.XLOOKUP(H763,eci_admgz_adm1!D:D,eci_admgz_adm1!C:C)</f>
        <v>Napo</v>
      </c>
      <c r="J763" t="s">
        <v>2021</v>
      </c>
      <c r="K763" s="1" t="s">
        <v>2023</v>
      </c>
    </row>
    <row r="764" spans="1:11" ht="16" x14ac:dyDescent="0.2">
      <c r="A764" t="s">
        <v>1455</v>
      </c>
      <c r="B764" t="s">
        <v>1456</v>
      </c>
      <c r="C764" t="str">
        <f t="shared" si="56"/>
        <v>Sardinas</v>
      </c>
      <c r="D764" t="str">
        <f t="shared" si="55"/>
        <v>Sardinas</v>
      </c>
      <c r="E764" t="str">
        <f t="shared" si="57"/>
        <v>EC150455</v>
      </c>
      <c r="F764" t="str">
        <f>_xlfn.XLOOKUP(G764,ecu_admgz_adm2!D:D,ecu_admgz_adm2!C:C)</f>
        <v>El Chaco</v>
      </c>
      <c r="G764" t="str">
        <f t="shared" si="58"/>
        <v>EC1504</v>
      </c>
      <c r="H764" t="str">
        <f t="shared" si="59"/>
        <v>EC15</v>
      </c>
      <c r="I764" t="str">
        <f>_xlfn.XLOOKUP(H764,eci_admgz_adm1!D:D,eci_admgz_adm1!C:C)</f>
        <v>Napo</v>
      </c>
      <c r="J764" t="s">
        <v>2021</v>
      </c>
      <c r="K764" s="1" t="s">
        <v>2023</v>
      </c>
    </row>
    <row r="765" spans="1:11" ht="16" x14ac:dyDescent="0.2">
      <c r="A765" t="s">
        <v>1457</v>
      </c>
      <c r="B765" t="s">
        <v>1458</v>
      </c>
      <c r="C765" t="str">
        <f t="shared" si="56"/>
        <v>Baeza</v>
      </c>
      <c r="D765" t="str">
        <f t="shared" si="55"/>
        <v>Baeza</v>
      </c>
      <c r="E765" t="str">
        <f t="shared" si="57"/>
        <v>EC150750</v>
      </c>
      <c r="F765" t="str">
        <f>_xlfn.XLOOKUP(G765,ecu_admgz_adm2!D:D,ecu_admgz_adm2!C:C)</f>
        <v>Quijos</v>
      </c>
      <c r="G765" t="str">
        <f t="shared" si="58"/>
        <v>EC1507</v>
      </c>
      <c r="H765" t="str">
        <f t="shared" si="59"/>
        <v>EC15</v>
      </c>
      <c r="I765" t="str">
        <f>_xlfn.XLOOKUP(H765,eci_admgz_adm1!D:D,eci_admgz_adm1!C:C)</f>
        <v>Napo</v>
      </c>
      <c r="J765" t="s">
        <v>2021</v>
      </c>
      <c r="K765" s="1" t="s">
        <v>2023</v>
      </c>
    </row>
    <row r="766" spans="1:11" ht="16" x14ac:dyDescent="0.2">
      <c r="A766" t="s">
        <v>1459</v>
      </c>
      <c r="B766" t="s">
        <v>1460</v>
      </c>
      <c r="C766" t="str">
        <f t="shared" si="56"/>
        <v>Cosanga</v>
      </c>
      <c r="D766" t="str">
        <f t="shared" si="55"/>
        <v>Cosanga</v>
      </c>
      <c r="E766" t="str">
        <f t="shared" si="57"/>
        <v>EC150751</v>
      </c>
      <c r="F766" t="str">
        <f>_xlfn.XLOOKUP(G766,ecu_admgz_adm2!D:D,ecu_admgz_adm2!C:C)</f>
        <v>Quijos</v>
      </c>
      <c r="G766" t="str">
        <f t="shared" si="58"/>
        <v>EC1507</v>
      </c>
      <c r="H766" t="str">
        <f t="shared" si="59"/>
        <v>EC15</v>
      </c>
      <c r="I766" t="str">
        <f>_xlfn.XLOOKUP(H766,eci_admgz_adm1!D:D,eci_admgz_adm1!C:C)</f>
        <v>Napo</v>
      </c>
      <c r="J766" t="s">
        <v>2021</v>
      </c>
      <c r="K766" s="1" t="s">
        <v>2023</v>
      </c>
    </row>
    <row r="767" spans="1:11" ht="16" x14ac:dyDescent="0.2">
      <c r="A767" t="s">
        <v>1461</v>
      </c>
      <c r="B767" t="s">
        <v>1462</v>
      </c>
      <c r="C767" t="str">
        <f t="shared" si="56"/>
        <v>Cuyuja</v>
      </c>
      <c r="D767" t="str">
        <f t="shared" si="55"/>
        <v>Cuyuja</v>
      </c>
      <c r="E767" t="str">
        <f t="shared" si="57"/>
        <v>EC150752</v>
      </c>
      <c r="F767" t="str">
        <f>_xlfn.XLOOKUP(G767,ecu_admgz_adm2!D:D,ecu_admgz_adm2!C:C)</f>
        <v>Quijos</v>
      </c>
      <c r="G767" t="str">
        <f t="shared" si="58"/>
        <v>EC1507</v>
      </c>
      <c r="H767" t="str">
        <f t="shared" si="59"/>
        <v>EC15</v>
      </c>
      <c r="I767" t="str">
        <f>_xlfn.XLOOKUP(H767,eci_admgz_adm1!D:D,eci_admgz_adm1!C:C)</f>
        <v>Napo</v>
      </c>
      <c r="J767" t="s">
        <v>2021</v>
      </c>
      <c r="K767" s="1" t="s">
        <v>2023</v>
      </c>
    </row>
    <row r="768" spans="1:11" ht="16" x14ac:dyDescent="0.2">
      <c r="A768" t="s">
        <v>1463</v>
      </c>
      <c r="B768" t="s">
        <v>1464</v>
      </c>
      <c r="C768" t="str">
        <f t="shared" si="56"/>
        <v>Papallacta</v>
      </c>
      <c r="D768" t="str">
        <f t="shared" si="55"/>
        <v>Papallacta</v>
      </c>
      <c r="E768" t="str">
        <f t="shared" si="57"/>
        <v>EC150753</v>
      </c>
      <c r="F768" t="str">
        <f>_xlfn.XLOOKUP(G768,ecu_admgz_adm2!D:D,ecu_admgz_adm2!C:C)</f>
        <v>Quijos</v>
      </c>
      <c r="G768" t="str">
        <f t="shared" si="58"/>
        <v>EC1507</v>
      </c>
      <c r="H768" t="str">
        <f t="shared" si="59"/>
        <v>EC15</v>
      </c>
      <c r="I768" t="str">
        <f>_xlfn.XLOOKUP(H768,eci_admgz_adm1!D:D,eci_admgz_adm1!C:C)</f>
        <v>Napo</v>
      </c>
      <c r="J768" t="s">
        <v>2021</v>
      </c>
      <c r="K768" s="1" t="s">
        <v>2023</v>
      </c>
    </row>
    <row r="769" spans="1:11" ht="16" x14ac:dyDescent="0.2">
      <c r="A769" t="s">
        <v>1465</v>
      </c>
      <c r="B769" t="s">
        <v>1466</v>
      </c>
      <c r="C769" t="str">
        <f t="shared" si="56"/>
        <v>San Francisco De Borja</v>
      </c>
      <c r="D769" t="str">
        <f t="shared" si="55"/>
        <v>San Francisco de Borja</v>
      </c>
      <c r="E769" t="str">
        <f t="shared" si="57"/>
        <v>EC150754</v>
      </c>
      <c r="F769" t="str">
        <f>_xlfn.XLOOKUP(G769,ecu_admgz_adm2!D:D,ecu_admgz_adm2!C:C)</f>
        <v>Quijos</v>
      </c>
      <c r="G769" t="str">
        <f t="shared" si="58"/>
        <v>EC1507</v>
      </c>
      <c r="H769" t="str">
        <f t="shared" si="59"/>
        <v>EC15</v>
      </c>
      <c r="I769" t="str">
        <f>_xlfn.XLOOKUP(H769,eci_admgz_adm1!D:D,eci_admgz_adm1!C:C)</f>
        <v>Napo</v>
      </c>
      <c r="J769" t="s">
        <v>2021</v>
      </c>
      <c r="K769" s="1" t="s">
        <v>2023</v>
      </c>
    </row>
    <row r="770" spans="1:11" ht="16" x14ac:dyDescent="0.2">
      <c r="A770" t="s">
        <v>1467</v>
      </c>
      <c r="B770" t="s">
        <v>1468</v>
      </c>
      <c r="C770" t="str">
        <f t="shared" si="56"/>
        <v>Sumaco</v>
      </c>
      <c r="D770" t="str">
        <f t="shared" ref="D770:D833" si="60">SUBSTITUTE(SUBSTITUTE(SUBSTITUTE(SUBSTITUTE(SUBSTITUTE(SUBSTITUTE(PROPER($C770)," De "," de ")," La "," la ")," Del "," del ")," Los "," los ")," Y "," y "),"En","en")</f>
        <v>Sumaco</v>
      </c>
      <c r="E770" t="str">
        <f t="shared" si="57"/>
        <v>EC150756</v>
      </c>
      <c r="F770" t="str">
        <f>_xlfn.XLOOKUP(G770,ecu_admgz_adm2!D:D,ecu_admgz_adm2!C:C)</f>
        <v>Quijos</v>
      </c>
      <c r="G770" t="str">
        <f t="shared" si="58"/>
        <v>EC1507</v>
      </c>
      <c r="H770" t="str">
        <f t="shared" si="59"/>
        <v>EC15</v>
      </c>
      <c r="I770" t="str">
        <f>_xlfn.XLOOKUP(H770,eci_admgz_adm1!D:D,eci_admgz_adm1!C:C)</f>
        <v>Napo</v>
      </c>
      <c r="J770" t="s">
        <v>2021</v>
      </c>
      <c r="K770" s="1" t="s">
        <v>2023</v>
      </c>
    </row>
    <row r="771" spans="1:11" ht="16" x14ac:dyDescent="0.2">
      <c r="A771" t="s">
        <v>1469</v>
      </c>
      <c r="B771" t="s">
        <v>1470</v>
      </c>
      <c r="C771" t="str">
        <f t="shared" ref="C771:C834" si="61">PROPER(B771)</f>
        <v>Carlos Julio Arosemena Tola</v>
      </c>
      <c r="D771" t="str">
        <f t="shared" si="60"/>
        <v>Carlos Julio Arosemena Tola</v>
      </c>
      <c r="E771" t="str">
        <f t="shared" ref="E771:E834" si="62">"EC"&amp;A771</f>
        <v>EC150950</v>
      </c>
      <c r="F771" t="str">
        <f>_xlfn.XLOOKUP(G771,ecu_admgz_adm2!D:D,ecu_admgz_adm2!C:C)</f>
        <v>Carlos Julio Arosemena Tola</v>
      </c>
      <c r="G771" t="str">
        <f t="shared" ref="G771:G834" si="63">LEFT(E771,6)</f>
        <v>EC1509</v>
      </c>
      <c r="H771" t="str">
        <f t="shared" ref="H771:H834" si="64">LEFT(G771,4)</f>
        <v>EC15</v>
      </c>
      <c r="I771" t="str">
        <f>_xlfn.XLOOKUP(H771,eci_admgz_adm1!D:D,eci_admgz_adm1!C:C)</f>
        <v>Napo</v>
      </c>
      <c r="J771" t="s">
        <v>2021</v>
      </c>
      <c r="K771" s="1" t="s">
        <v>2023</v>
      </c>
    </row>
    <row r="772" spans="1:11" ht="16" x14ac:dyDescent="0.2">
      <c r="A772" t="s">
        <v>1471</v>
      </c>
      <c r="B772" t="s">
        <v>1472</v>
      </c>
      <c r="C772" t="str">
        <f t="shared" si="61"/>
        <v>Puyo</v>
      </c>
      <c r="D772" t="str">
        <f t="shared" si="60"/>
        <v>Puyo</v>
      </c>
      <c r="E772" t="str">
        <f t="shared" si="62"/>
        <v>EC160150</v>
      </c>
      <c r="F772" t="str">
        <f>_xlfn.XLOOKUP(G772,ecu_admgz_adm2!D:D,ecu_admgz_adm2!C:C)</f>
        <v>Pastaza</v>
      </c>
      <c r="G772" t="str">
        <f t="shared" si="63"/>
        <v>EC1601</v>
      </c>
      <c r="H772" t="str">
        <f t="shared" si="64"/>
        <v>EC16</v>
      </c>
      <c r="I772" t="str">
        <f>_xlfn.XLOOKUP(H772,eci_admgz_adm1!D:D,eci_admgz_adm1!C:C)</f>
        <v>Pastaza</v>
      </c>
      <c r="J772" t="s">
        <v>2021</v>
      </c>
      <c r="K772" s="1" t="s">
        <v>2023</v>
      </c>
    </row>
    <row r="773" spans="1:11" ht="16" x14ac:dyDescent="0.2">
      <c r="A773" t="s">
        <v>1473</v>
      </c>
      <c r="B773" t="s">
        <v>1474</v>
      </c>
      <c r="C773" t="str">
        <f t="shared" si="61"/>
        <v>Canelos</v>
      </c>
      <c r="D773" t="str">
        <f t="shared" si="60"/>
        <v>Canelos</v>
      </c>
      <c r="E773" t="str">
        <f t="shared" si="62"/>
        <v>EC160152</v>
      </c>
      <c r="F773" t="str">
        <f>_xlfn.XLOOKUP(G773,ecu_admgz_adm2!D:D,ecu_admgz_adm2!C:C)</f>
        <v>Pastaza</v>
      </c>
      <c r="G773" t="str">
        <f t="shared" si="63"/>
        <v>EC1601</v>
      </c>
      <c r="H773" t="str">
        <f t="shared" si="64"/>
        <v>EC16</v>
      </c>
      <c r="I773" t="str">
        <f>_xlfn.XLOOKUP(H773,eci_admgz_adm1!D:D,eci_admgz_adm1!C:C)</f>
        <v>Pastaza</v>
      </c>
      <c r="J773" t="s">
        <v>2021</v>
      </c>
      <c r="K773" s="1" t="s">
        <v>2023</v>
      </c>
    </row>
    <row r="774" spans="1:11" ht="16" x14ac:dyDescent="0.2">
      <c r="A774" t="s">
        <v>1475</v>
      </c>
      <c r="B774" t="s">
        <v>1296</v>
      </c>
      <c r="C774" t="str">
        <f t="shared" si="61"/>
        <v>Diez De Agosto</v>
      </c>
      <c r="D774" t="str">
        <f t="shared" si="60"/>
        <v>Diez de Agosto</v>
      </c>
      <c r="E774" t="str">
        <f t="shared" si="62"/>
        <v>EC160154</v>
      </c>
      <c r="F774" t="str">
        <f>_xlfn.XLOOKUP(G774,ecu_admgz_adm2!D:D,ecu_admgz_adm2!C:C)</f>
        <v>Pastaza</v>
      </c>
      <c r="G774" t="str">
        <f t="shared" si="63"/>
        <v>EC1601</v>
      </c>
      <c r="H774" t="str">
        <f t="shared" si="64"/>
        <v>EC16</v>
      </c>
      <c r="I774" t="str">
        <f>_xlfn.XLOOKUP(H774,eci_admgz_adm1!D:D,eci_admgz_adm1!C:C)</f>
        <v>Pastaza</v>
      </c>
      <c r="J774" t="s">
        <v>2021</v>
      </c>
      <c r="K774" s="1" t="s">
        <v>2023</v>
      </c>
    </row>
    <row r="775" spans="1:11" ht="16" x14ac:dyDescent="0.2">
      <c r="A775" t="s">
        <v>1476</v>
      </c>
      <c r="B775" t="s">
        <v>1477</v>
      </c>
      <c r="C775" t="str">
        <f t="shared" si="61"/>
        <v>Fátima</v>
      </c>
      <c r="D775" t="str">
        <f t="shared" si="60"/>
        <v>Fátima</v>
      </c>
      <c r="E775" t="str">
        <f t="shared" si="62"/>
        <v>EC160155</v>
      </c>
      <c r="F775" t="str">
        <f>_xlfn.XLOOKUP(G775,ecu_admgz_adm2!D:D,ecu_admgz_adm2!C:C)</f>
        <v>Pastaza</v>
      </c>
      <c r="G775" t="str">
        <f t="shared" si="63"/>
        <v>EC1601</v>
      </c>
      <c r="H775" t="str">
        <f t="shared" si="64"/>
        <v>EC16</v>
      </c>
      <c r="I775" t="str">
        <f>_xlfn.XLOOKUP(H775,eci_admgz_adm1!D:D,eci_admgz_adm1!C:C)</f>
        <v>Pastaza</v>
      </c>
      <c r="J775" t="s">
        <v>2021</v>
      </c>
      <c r="K775" s="1" t="s">
        <v>2023</v>
      </c>
    </row>
    <row r="776" spans="1:11" ht="16" x14ac:dyDescent="0.2">
      <c r="A776" t="s">
        <v>1478</v>
      </c>
      <c r="B776" t="s">
        <v>762</v>
      </c>
      <c r="C776" t="str">
        <f t="shared" si="61"/>
        <v>Montalvo</v>
      </c>
      <c r="D776" t="str">
        <f t="shared" si="60"/>
        <v>Montalvo</v>
      </c>
      <c r="E776" t="str">
        <f t="shared" si="62"/>
        <v>EC160156</v>
      </c>
      <c r="F776" t="str">
        <f>_xlfn.XLOOKUP(G776,ecu_admgz_adm2!D:D,ecu_admgz_adm2!C:C)</f>
        <v>Pastaza</v>
      </c>
      <c r="G776" t="str">
        <f t="shared" si="63"/>
        <v>EC1601</v>
      </c>
      <c r="H776" t="str">
        <f t="shared" si="64"/>
        <v>EC16</v>
      </c>
      <c r="I776" t="str">
        <f>_xlfn.XLOOKUP(H776,eci_admgz_adm1!D:D,eci_admgz_adm1!C:C)</f>
        <v>Pastaza</v>
      </c>
      <c r="J776" t="s">
        <v>2021</v>
      </c>
      <c r="K776" s="1" t="s">
        <v>2023</v>
      </c>
    </row>
    <row r="777" spans="1:11" ht="16" x14ac:dyDescent="0.2">
      <c r="A777" t="s">
        <v>1479</v>
      </c>
      <c r="B777" t="s">
        <v>1480</v>
      </c>
      <c r="C777" t="str">
        <f t="shared" si="61"/>
        <v>Pomona</v>
      </c>
      <c r="D777" t="str">
        <f t="shared" si="60"/>
        <v>Pomona</v>
      </c>
      <c r="E777" t="str">
        <f t="shared" si="62"/>
        <v>EC160157</v>
      </c>
      <c r="F777" t="str">
        <f>_xlfn.XLOOKUP(G777,ecu_admgz_adm2!D:D,ecu_admgz_adm2!C:C)</f>
        <v>Pastaza</v>
      </c>
      <c r="G777" t="str">
        <f t="shared" si="63"/>
        <v>EC1601</v>
      </c>
      <c r="H777" t="str">
        <f t="shared" si="64"/>
        <v>EC16</v>
      </c>
      <c r="I777" t="str">
        <f>_xlfn.XLOOKUP(H777,eci_admgz_adm1!D:D,eci_admgz_adm1!C:C)</f>
        <v>Pastaza</v>
      </c>
      <c r="J777" t="s">
        <v>2021</v>
      </c>
      <c r="K777" s="1" t="s">
        <v>2023</v>
      </c>
    </row>
    <row r="778" spans="1:11" ht="16" x14ac:dyDescent="0.2">
      <c r="A778" t="s">
        <v>1481</v>
      </c>
      <c r="B778" t="s">
        <v>1482</v>
      </c>
      <c r="C778" t="str">
        <f t="shared" si="61"/>
        <v>Río Corrientes</v>
      </c>
      <c r="D778" t="str">
        <f t="shared" si="60"/>
        <v>Río Corrientes</v>
      </c>
      <c r="E778" t="str">
        <f t="shared" si="62"/>
        <v>EC160158</v>
      </c>
      <c r="F778" t="str">
        <f>_xlfn.XLOOKUP(G778,ecu_admgz_adm2!D:D,ecu_admgz_adm2!C:C)</f>
        <v>Pastaza</v>
      </c>
      <c r="G778" t="str">
        <f t="shared" si="63"/>
        <v>EC1601</v>
      </c>
      <c r="H778" t="str">
        <f t="shared" si="64"/>
        <v>EC16</v>
      </c>
      <c r="I778" t="str">
        <f>_xlfn.XLOOKUP(H778,eci_admgz_adm1!D:D,eci_admgz_adm1!C:C)</f>
        <v>Pastaza</v>
      </c>
      <c r="J778" t="s">
        <v>2021</v>
      </c>
      <c r="K778" s="1" t="s">
        <v>2023</v>
      </c>
    </row>
    <row r="779" spans="1:11" ht="16" x14ac:dyDescent="0.2">
      <c r="A779" t="s">
        <v>1483</v>
      </c>
      <c r="B779" t="s">
        <v>1484</v>
      </c>
      <c r="C779" t="str">
        <f t="shared" si="61"/>
        <v>Río Tigre</v>
      </c>
      <c r="D779" t="str">
        <f t="shared" si="60"/>
        <v>Río Tigre</v>
      </c>
      <c r="E779" t="str">
        <f t="shared" si="62"/>
        <v>EC160159</v>
      </c>
      <c r="F779" t="str">
        <f>_xlfn.XLOOKUP(G779,ecu_admgz_adm2!D:D,ecu_admgz_adm2!C:C)</f>
        <v>Pastaza</v>
      </c>
      <c r="G779" t="str">
        <f t="shared" si="63"/>
        <v>EC1601</v>
      </c>
      <c r="H779" t="str">
        <f t="shared" si="64"/>
        <v>EC16</v>
      </c>
      <c r="I779" t="str">
        <f>_xlfn.XLOOKUP(H779,eci_admgz_adm1!D:D,eci_admgz_adm1!C:C)</f>
        <v>Pastaza</v>
      </c>
      <c r="J779" t="s">
        <v>2021</v>
      </c>
      <c r="K779" s="1" t="s">
        <v>2023</v>
      </c>
    </row>
    <row r="780" spans="1:11" ht="16" x14ac:dyDescent="0.2">
      <c r="A780" t="s">
        <v>1485</v>
      </c>
      <c r="B780" t="s">
        <v>1486</v>
      </c>
      <c r="C780" t="str">
        <f t="shared" si="61"/>
        <v>Sarayacu</v>
      </c>
      <c r="D780" t="str">
        <f t="shared" si="60"/>
        <v>Sarayacu</v>
      </c>
      <c r="E780" t="str">
        <f t="shared" si="62"/>
        <v>EC160161</v>
      </c>
      <c r="F780" t="str">
        <f>_xlfn.XLOOKUP(G780,ecu_admgz_adm2!D:D,ecu_admgz_adm2!C:C)</f>
        <v>Pastaza</v>
      </c>
      <c r="G780" t="str">
        <f t="shared" si="63"/>
        <v>EC1601</v>
      </c>
      <c r="H780" t="str">
        <f t="shared" si="64"/>
        <v>EC16</v>
      </c>
      <c r="I780" t="str">
        <f>_xlfn.XLOOKUP(H780,eci_admgz_adm1!D:D,eci_admgz_adm1!C:C)</f>
        <v>Pastaza</v>
      </c>
      <c r="J780" t="s">
        <v>2021</v>
      </c>
      <c r="K780" s="1" t="s">
        <v>2023</v>
      </c>
    </row>
    <row r="781" spans="1:11" ht="16" x14ac:dyDescent="0.2">
      <c r="A781" t="s">
        <v>1487</v>
      </c>
      <c r="B781" t="s">
        <v>69</v>
      </c>
      <c r="C781" t="str">
        <f t="shared" si="61"/>
        <v>Simón Bolívar</v>
      </c>
      <c r="D781" t="str">
        <f t="shared" si="60"/>
        <v>Simón Bolívar</v>
      </c>
      <c r="E781" t="str">
        <f t="shared" si="62"/>
        <v>EC160162</v>
      </c>
      <c r="F781" t="str">
        <f>_xlfn.XLOOKUP(G781,ecu_admgz_adm2!D:D,ecu_admgz_adm2!C:C)</f>
        <v>Pastaza</v>
      </c>
      <c r="G781" t="str">
        <f t="shared" si="63"/>
        <v>EC1601</v>
      </c>
      <c r="H781" t="str">
        <f t="shared" si="64"/>
        <v>EC16</v>
      </c>
      <c r="I781" t="str">
        <f>_xlfn.XLOOKUP(H781,eci_admgz_adm1!D:D,eci_admgz_adm1!C:C)</f>
        <v>Pastaza</v>
      </c>
      <c r="J781" t="s">
        <v>2021</v>
      </c>
      <c r="K781" s="1" t="s">
        <v>2023</v>
      </c>
    </row>
    <row r="782" spans="1:11" ht="16" x14ac:dyDescent="0.2">
      <c r="A782" t="s">
        <v>1488</v>
      </c>
      <c r="B782" t="s">
        <v>39</v>
      </c>
      <c r="C782" t="str">
        <f t="shared" si="61"/>
        <v>Tarqui</v>
      </c>
      <c r="D782" t="str">
        <f t="shared" si="60"/>
        <v>Tarqui</v>
      </c>
      <c r="E782" t="str">
        <f t="shared" si="62"/>
        <v>EC160163</v>
      </c>
      <c r="F782" t="str">
        <f>_xlfn.XLOOKUP(G782,ecu_admgz_adm2!D:D,ecu_admgz_adm2!C:C)</f>
        <v>Pastaza</v>
      </c>
      <c r="G782" t="str">
        <f t="shared" si="63"/>
        <v>EC1601</v>
      </c>
      <c r="H782" t="str">
        <f t="shared" si="64"/>
        <v>EC16</v>
      </c>
      <c r="I782" t="str">
        <f>_xlfn.XLOOKUP(H782,eci_admgz_adm1!D:D,eci_admgz_adm1!C:C)</f>
        <v>Pastaza</v>
      </c>
      <c r="J782" t="s">
        <v>2021</v>
      </c>
      <c r="K782" s="1" t="s">
        <v>2023</v>
      </c>
    </row>
    <row r="783" spans="1:11" ht="16" x14ac:dyDescent="0.2">
      <c r="A783" t="s">
        <v>1489</v>
      </c>
      <c r="B783" t="s">
        <v>1490</v>
      </c>
      <c r="C783" t="str">
        <f t="shared" si="61"/>
        <v>Teniente Hugo Ortiz</v>
      </c>
      <c r="D783" t="str">
        <f t="shared" si="60"/>
        <v>Teniente Hugo Ortiz</v>
      </c>
      <c r="E783" t="str">
        <f t="shared" si="62"/>
        <v>EC160164</v>
      </c>
      <c r="F783" t="str">
        <f>_xlfn.XLOOKUP(G783,ecu_admgz_adm2!D:D,ecu_admgz_adm2!C:C)</f>
        <v>Pastaza</v>
      </c>
      <c r="G783" t="str">
        <f t="shared" si="63"/>
        <v>EC1601</v>
      </c>
      <c r="H783" t="str">
        <f t="shared" si="64"/>
        <v>EC16</v>
      </c>
      <c r="I783" t="str">
        <f>_xlfn.XLOOKUP(H783,eci_admgz_adm1!D:D,eci_admgz_adm1!C:C)</f>
        <v>Pastaza</v>
      </c>
      <c r="J783" t="s">
        <v>2021</v>
      </c>
      <c r="K783" s="1" t="s">
        <v>2023</v>
      </c>
    </row>
    <row r="784" spans="1:11" ht="16" x14ac:dyDescent="0.2">
      <c r="A784" t="s">
        <v>1491</v>
      </c>
      <c r="B784" t="s">
        <v>1492</v>
      </c>
      <c r="C784" t="str">
        <f t="shared" si="61"/>
        <v>Veracruz</v>
      </c>
      <c r="D784" t="str">
        <f t="shared" si="60"/>
        <v>Veracruz</v>
      </c>
      <c r="E784" t="str">
        <f t="shared" si="62"/>
        <v>EC160165</v>
      </c>
      <c r="F784" t="str">
        <f>_xlfn.XLOOKUP(G784,ecu_admgz_adm2!D:D,ecu_admgz_adm2!C:C)</f>
        <v>Pastaza</v>
      </c>
      <c r="G784" t="str">
        <f t="shared" si="63"/>
        <v>EC1601</v>
      </c>
      <c r="H784" t="str">
        <f t="shared" si="64"/>
        <v>EC16</v>
      </c>
      <c r="I784" t="str">
        <f>_xlfn.XLOOKUP(H784,eci_admgz_adm1!D:D,eci_admgz_adm1!C:C)</f>
        <v>Pastaza</v>
      </c>
      <c r="J784" t="s">
        <v>2021</v>
      </c>
      <c r="K784" s="1" t="s">
        <v>2023</v>
      </c>
    </row>
    <row r="785" spans="1:11" ht="16" x14ac:dyDescent="0.2">
      <c r="A785" t="s">
        <v>1493</v>
      </c>
      <c r="B785" t="s">
        <v>804</v>
      </c>
      <c r="C785" t="str">
        <f t="shared" si="61"/>
        <v>El Triunfo</v>
      </c>
      <c r="D785" t="str">
        <f t="shared" si="60"/>
        <v>El Triunfo</v>
      </c>
      <c r="E785" t="str">
        <f t="shared" si="62"/>
        <v>EC160166</v>
      </c>
      <c r="F785" t="str">
        <f>_xlfn.XLOOKUP(G785,ecu_admgz_adm2!D:D,ecu_admgz_adm2!C:C)</f>
        <v>Pastaza</v>
      </c>
      <c r="G785" t="str">
        <f t="shared" si="63"/>
        <v>EC1601</v>
      </c>
      <c r="H785" t="str">
        <f t="shared" si="64"/>
        <v>EC16</v>
      </c>
      <c r="I785" t="str">
        <f>_xlfn.XLOOKUP(H785,eci_admgz_adm1!D:D,eci_admgz_adm1!C:C)</f>
        <v>Pastaza</v>
      </c>
      <c r="J785" t="s">
        <v>2021</v>
      </c>
      <c r="K785" s="1" t="s">
        <v>2023</v>
      </c>
    </row>
    <row r="786" spans="1:11" ht="16" x14ac:dyDescent="0.2">
      <c r="A786" t="s">
        <v>1494</v>
      </c>
      <c r="B786" t="s">
        <v>1495</v>
      </c>
      <c r="C786" t="str">
        <f t="shared" si="61"/>
        <v>Mera</v>
      </c>
      <c r="D786" t="str">
        <f t="shared" si="60"/>
        <v>Mera</v>
      </c>
      <c r="E786" t="str">
        <f t="shared" si="62"/>
        <v>EC160250</v>
      </c>
      <c r="F786" t="str">
        <f>_xlfn.XLOOKUP(G786,ecu_admgz_adm2!D:D,ecu_admgz_adm2!C:C)</f>
        <v>Mera</v>
      </c>
      <c r="G786" t="str">
        <f t="shared" si="63"/>
        <v>EC1602</v>
      </c>
      <c r="H786" t="str">
        <f t="shared" si="64"/>
        <v>EC16</v>
      </c>
      <c r="I786" t="str">
        <f>_xlfn.XLOOKUP(H786,eci_admgz_adm1!D:D,eci_admgz_adm1!C:C)</f>
        <v>Pastaza</v>
      </c>
      <c r="J786" t="s">
        <v>2021</v>
      </c>
      <c r="K786" s="1" t="s">
        <v>2023</v>
      </c>
    </row>
    <row r="787" spans="1:11" ht="16" x14ac:dyDescent="0.2">
      <c r="A787" t="s">
        <v>1496</v>
      </c>
      <c r="B787" t="s">
        <v>1497</v>
      </c>
      <c r="C787" t="str">
        <f t="shared" si="61"/>
        <v>Madre Tierra</v>
      </c>
      <c r="D787" t="str">
        <f t="shared" si="60"/>
        <v>Madre Tierra</v>
      </c>
      <c r="E787" t="str">
        <f t="shared" si="62"/>
        <v>EC160251</v>
      </c>
      <c r="F787" t="str">
        <f>_xlfn.XLOOKUP(G787,ecu_admgz_adm2!D:D,ecu_admgz_adm2!C:C)</f>
        <v>Mera</v>
      </c>
      <c r="G787" t="str">
        <f t="shared" si="63"/>
        <v>EC1602</v>
      </c>
      <c r="H787" t="str">
        <f t="shared" si="64"/>
        <v>EC16</v>
      </c>
      <c r="I787" t="str">
        <f>_xlfn.XLOOKUP(H787,eci_admgz_adm1!D:D,eci_admgz_adm1!C:C)</f>
        <v>Pastaza</v>
      </c>
      <c r="J787" t="s">
        <v>2021</v>
      </c>
      <c r="K787" s="1" t="s">
        <v>2023</v>
      </c>
    </row>
    <row r="788" spans="1:11" ht="16" x14ac:dyDescent="0.2">
      <c r="A788" t="s">
        <v>1498</v>
      </c>
      <c r="B788" t="s">
        <v>1499</v>
      </c>
      <c r="C788" t="str">
        <f t="shared" si="61"/>
        <v>Shell</v>
      </c>
      <c r="D788" t="str">
        <f t="shared" si="60"/>
        <v>Shell</v>
      </c>
      <c r="E788" t="str">
        <f t="shared" si="62"/>
        <v>EC160252</v>
      </c>
      <c r="F788" t="str">
        <f>_xlfn.XLOOKUP(G788,ecu_admgz_adm2!D:D,ecu_admgz_adm2!C:C)</f>
        <v>Mera</v>
      </c>
      <c r="G788" t="str">
        <f t="shared" si="63"/>
        <v>EC1602</v>
      </c>
      <c r="H788" t="str">
        <f t="shared" si="64"/>
        <v>EC16</v>
      </c>
      <c r="I788" t="str">
        <f>_xlfn.XLOOKUP(H788,eci_admgz_adm1!D:D,eci_admgz_adm1!C:C)</f>
        <v>Pastaza</v>
      </c>
      <c r="J788" t="s">
        <v>2021</v>
      </c>
      <c r="K788" s="1" t="s">
        <v>2023</v>
      </c>
    </row>
    <row r="789" spans="1:11" ht="16" x14ac:dyDescent="0.2">
      <c r="A789" t="s">
        <v>1500</v>
      </c>
      <c r="B789" t="s">
        <v>1501</v>
      </c>
      <c r="C789" t="str">
        <f t="shared" si="61"/>
        <v>Santa Clara</v>
      </c>
      <c r="D789" t="str">
        <f t="shared" si="60"/>
        <v>Santa Clara</v>
      </c>
      <c r="E789" t="str">
        <f t="shared" si="62"/>
        <v>EC160350</v>
      </c>
      <c r="F789" t="str">
        <f>_xlfn.XLOOKUP(G789,ecu_admgz_adm2!D:D,ecu_admgz_adm2!C:C)</f>
        <v>Santa Clara</v>
      </c>
      <c r="G789" t="str">
        <f t="shared" si="63"/>
        <v>EC1603</v>
      </c>
      <c r="H789" t="str">
        <f t="shared" si="64"/>
        <v>EC16</v>
      </c>
      <c r="I789" t="str">
        <f>_xlfn.XLOOKUP(H789,eci_admgz_adm1!D:D,eci_admgz_adm1!C:C)</f>
        <v>Pastaza</v>
      </c>
      <c r="J789" t="s">
        <v>2021</v>
      </c>
      <c r="K789" s="1" t="s">
        <v>2023</v>
      </c>
    </row>
    <row r="790" spans="1:11" ht="16" x14ac:dyDescent="0.2">
      <c r="A790" t="s">
        <v>1502</v>
      </c>
      <c r="B790" t="s">
        <v>544</v>
      </c>
      <c r="C790" t="str">
        <f t="shared" si="61"/>
        <v>San José</v>
      </c>
      <c r="D790" t="str">
        <f t="shared" si="60"/>
        <v>San José</v>
      </c>
      <c r="E790" t="str">
        <f t="shared" si="62"/>
        <v>EC160351</v>
      </c>
      <c r="F790" t="str">
        <f>_xlfn.XLOOKUP(G790,ecu_admgz_adm2!D:D,ecu_admgz_adm2!C:C)</f>
        <v>Santa Clara</v>
      </c>
      <c r="G790" t="str">
        <f t="shared" si="63"/>
        <v>EC1603</v>
      </c>
      <c r="H790" t="str">
        <f t="shared" si="64"/>
        <v>EC16</v>
      </c>
      <c r="I790" t="str">
        <f>_xlfn.XLOOKUP(H790,eci_admgz_adm1!D:D,eci_admgz_adm1!C:C)</f>
        <v>Pastaza</v>
      </c>
      <c r="J790" t="s">
        <v>2021</v>
      </c>
      <c r="K790" s="1" t="s">
        <v>2023</v>
      </c>
    </row>
    <row r="791" spans="1:11" ht="16" x14ac:dyDescent="0.2">
      <c r="A791" t="s">
        <v>1503</v>
      </c>
      <c r="B791" t="s">
        <v>1504</v>
      </c>
      <c r="C791" t="str">
        <f t="shared" si="61"/>
        <v>Arajuno</v>
      </c>
      <c r="D791" t="str">
        <f t="shared" si="60"/>
        <v>Arajuno</v>
      </c>
      <c r="E791" t="str">
        <f t="shared" si="62"/>
        <v>EC160450</v>
      </c>
      <c r="F791" t="str">
        <f>_xlfn.XLOOKUP(G791,ecu_admgz_adm2!D:D,ecu_admgz_adm2!C:C)</f>
        <v>Arajuno</v>
      </c>
      <c r="G791" t="str">
        <f t="shared" si="63"/>
        <v>EC1604</v>
      </c>
      <c r="H791" t="str">
        <f t="shared" si="64"/>
        <v>EC16</v>
      </c>
      <c r="I791" t="str">
        <f>_xlfn.XLOOKUP(H791,eci_admgz_adm1!D:D,eci_admgz_adm1!C:C)</f>
        <v>Pastaza</v>
      </c>
      <c r="J791" t="s">
        <v>2021</v>
      </c>
      <c r="K791" s="1" t="s">
        <v>2023</v>
      </c>
    </row>
    <row r="792" spans="1:11" ht="16" x14ac:dyDescent="0.2">
      <c r="A792" t="s">
        <v>1505</v>
      </c>
      <c r="B792" t="s">
        <v>1506</v>
      </c>
      <c r="C792" t="str">
        <f t="shared" si="61"/>
        <v>Curaray</v>
      </c>
      <c r="D792" t="str">
        <f t="shared" si="60"/>
        <v>Curaray</v>
      </c>
      <c r="E792" t="str">
        <f t="shared" si="62"/>
        <v>EC160451</v>
      </c>
      <c r="F792" t="str">
        <f>_xlfn.XLOOKUP(G792,ecu_admgz_adm2!D:D,ecu_admgz_adm2!C:C)</f>
        <v>Arajuno</v>
      </c>
      <c r="G792" t="str">
        <f t="shared" si="63"/>
        <v>EC1604</v>
      </c>
      <c r="H792" t="str">
        <f t="shared" si="64"/>
        <v>EC16</v>
      </c>
      <c r="I792" t="str">
        <f>_xlfn.XLOOKUP(H792,eci_admgz_adm1!D:D,eci_admgz_adm1!C:C)</f>
        <v>Pastaza</v>
      </c>
      <c r="J792" t="s">
        <v>2021</v>
      </c>
      <c r="K792" s="1" t="s">
        <v>2023</v>
      </c>
    </row>
    <row r="793" spans="1:11" ht="16" x14ac:dyDescent="0.2">
      <c r="A793" t="s">
        <v>1507</v>
      </c>
      <c r="B793" t="s">
        <v>1508</v>
      </c>
      <c r="C793" t="str">
        <f t="shared" si="61"/>
        <v>Quito</v>
      </c>
      <c r="D793" t="str">
        <f t="shared" si="60"/>
        <v>Quito</v>
      </c>
      <c r="E793" t="str">
        <f t="shared" si="62"/>
        <v>EC170150</v>
      </c>
      <c r="F793" t="str">
        <f>_xlfn.XLOOKUP(G793,ecu_admgz_adm2!D:D,ecu_admgz_adm2!C:C)</f>
        <v>Distrito Metropolitano de Quito</v>
      </c>
      <c r="G793" t="str">
        <f t="shared" si="63"/>
        <v>EC1701</v>
      </c>
      <c r="H793" t="str">
        <f t="shared" si="64"/>
        <v>EC17</v>
      </c>
      <c r="I793" t="str">
        <f>_xlfn.XLOOKUP(H793,eci_admgz_adm1!D:D,eci_admgz_adm1!C:C)</f>
        <v>Pichincha</v>
      </c>
      <c r="J793" t="s">
        <v>2021</v>
      </c>
      <c r="K793" s="1" t="s">
        <v>2023</v>
      </c>
    </row>
    <row r="794" spans="1:11" ht="16" x14ac:dyDescent="0.2">
      <c r="A794" t="s">
        <v>1509</v>
      </c>
      <c r="B794" t="s">
        <v>1510</v>
      </c>
      <c r="C794" t="str">
        <f t="shared" si="61"/>
        <v>Alangasí</v>
      </c>
      <c r="D794" t="str">
        <f t="shared" si="60"/>
        <v>Alangasí</v>
      </c>
      <c r="E794" t="str">
        <f t="shared" si="62"/>
        <v>EC170151</v>
      </c>
      <c r="F794" t="str">
        <f>_xlfn.XLOOKUP(G794,ecu_admgz_adm2!D:D,ecu_admgz_adm2!C:C)</f>
        <v>Distrito Metropolitano de Quito</v>
      </c>
      <c r="G794" t="str">
        <f t="shared" si="63"/>
        <v>EC1701</v>
      </c>
      <c r="H794" t="str">
        <f t="shared" si="64"/>
        <v>EC17</v>
      </c>
      <c r="I794" t="str">
        <f>_xlfn.XLOOKUP(H794,eci_admgz_adm1!D:D,eci_admgz_adm1!C:C)</f>
        <v>Pichincha</v>
      </c>
      <c r="J794" t="s">
        <v>2021</v>
      </c>
      <c r="K794" s="1" t="s">
        <v>2023</v>
      </c>
    </row>
    <row r="795" spans="1:11" ht="16" x14ac:dyDescent="0.2">
      <c r="A795" t="s">
        <v>1511</v>
      </c>
      <c r="B795" t="s">
        <v>1512</v>
      </c>
      <c r="C795" t="str">
        <f t="shared" si="61"/>
        <v>Amaguaña</v>
      </c>
      <c r="D795" t="str">
        <f t="shared" si="60"/>
        <v>Amaguaña</v>
      </c>
      <c r="E795" t="str">
        <f t="shared" si="62"/>
        <v>EC170152</v>
      </c>
      <c r="F795" t="str">
        <f>_xlfn.XLOOKUP(G795,ecu_admgz_adm2!D:D,ecu_admgz_adm2!C:C)</f>
        <v>Distrito Metropolitano de Quito</v>
      </c>
      <c r="G795" t="str">
        <f t="shared" si="63"/>
        <v>EC1701</v>
      </c>
      <c r="H795" t="str">
        <f t="shared" si="64"/>
        <v>EC17</v>
      </c>
      <c r="I795" t="str">
        <f>_xlfn.XLOOKUP(H795,eci_admgz_adm1!D:D,eci_admgz_adm1!C:C)</f>
        <v>Pichincha</v>
      </c>
      <c r="J795" t="s">
        <v>2021</v>
      </c>
      <c r="K795" s="1" t="s">
        <v>2023</v>
      </c>
    </row>
    <row r="796" spans="1:11" ht="16" x14ac:dyDescent="0.2">
      <c r="A796" t="s">
        <v>1513</v>
      </c>
      <c r="B796" t="s">
        <v>536</v>
      </c>
      <c r="C796" t="str">
        <f t="shared" si="61"/>
        <v>Atahualpa</v>
      </c>
      <c r="D796" t="str">
        <f t="shared" si="60"/>
        <v>Atahualpa</v>
      </c>
      <c r="E796" t="str">
        <f t="shared" si="62"/>
        <v>EC170153</v>
      </c>
      <c r="F796" t="str">
        <f>_xlfn.XLOOKUP(G796,ecu_admgz_adm2!D:D,ecu_admgz_adm2!C:C)</f>
        <v>Distrito Metropolitano de Quito</v>
      </c>
      <c r="G796" t="str">
        <f t="shared" si="63"/>
        <v>EC1701</v>
      </c>
      <c r="H796" t="str">
        <f t="shared" si="64"/>
        <v>EC17</v>
      </c>
      <c r="I796" t="str">
        <f>_xlfn.XLOOKUP(H796,eci_admgz_adm1!D:D,eci_admgz_adm1!C:C)</f>
        <v>Pichincha</v>
      </c>
      <c r="J796" t="s">
        <v>2021</v>
      </c>
      <c r="K796" s="1" t="s">
        <v>2023</v>
      </c>
    </row>
    <row r="797" spans="1:11" ht="16" x14ac:dyDescent="0.2">
      <c r="A797" t="s">
        <v>1514</v>
      </c>
      <c r="B797" t="s">
        <v>1515</v>
      </c>
      <c r="C797" t="str">
        <f t="shared" si="61"/>
        <v>Calacalí</v>
      </c>
      <c r="D797" t="str">
        <f t="shared" si="60"/>
        <v>Calacalí</v>
      </c>
      <c r="E797" t="str">
        <f t="shared" si="62"/>
        <v>EC170154</v>
      </c>
      <c r="F797" t="str">
        <f>_xlfn.XLOOKUP(G797,ecu_admgz_adm2!D:D,ecu_admgz_adm2!C:C)</f>
        <v>Distrito Metropolitano de Quito</v>
      </c>
      <c r="G797" t="str">
        <f t="shared" si="63"/>
        <v>EC1701</v>
      </c>
      <c r="H797" t="str">
        <f t="shared" si="64"/>
        <v>EC17</v>
      </c>
      <c r="I797" t="str">
        <f>_xlfn.XLOOKUP(H797,eci_admgz_adm1!D:D,eci_admgz_adm1!C:C)</f>
        <v>Pichincha</v>
      </c>
      <c r="J797" t="s">
        <v>2021</v>
      </c>
      <c r="K797" s="1" t="s">
        <v>2023</v>
      </c>
    </row>
    <row r="798" spans="1:11" ht="16" x14ac:dyDescent="0.2">
      <c r="A798" t="s">
        <v>1516</v>
      </c>
      <c r="B798" t="s">
        <v>727</v>
      </c>
      <c r="C798" t="str">
        <f t="shared" si="61"/>
        <v>Calderón</v>
      </c>
      <c r="D798" t="str">
        <f t="shared" si="60"/>
        <v>Calderón</v>
      </c>
      <c r="E798" t="str">
        <f t="shared" si="62"/>
        <v>EC170155</v>
      </c>
      <c r="F798" t="str">
        <f>_xlfn.XLOOKUP(G798,ecu_admgz_adm2!D:D,ecu_admgz_adm2!C:C)</f>
        <v>Distrito Metropolitano de Quito</v>
      </c>
      <c r="G798" t="str">
        <f t="shared" si="63"/>
        <v>EC1701</v>
      </c>
      <c r="H798" t="str">
        <f t="shared" si="64"/>
        <v>EC17</v>
      </c>
      <c r="I798" t="str">
        <f>_xlfn.XLOOKUP(H798,eci_admgz_adm1!D:D,eci_admgz_adm1!C:C)</f>
        <v>Pichincha</v>
      </c>
      <c r="J798" t="s">
        <v>2021</v>
      </c>
      <c r="K798" s="1" t="s">
        <v>2023</v>
      </c>
    </row>
    <row r="799" spans="1:11" ht="16" x14ac:dyDescent="0.2">
      <c r="A799" t="s">
        <v>1517</v>
      </c>
      <c r="B799" t="s">
        <v>1518</v>
      </c>
      <c r="C799" t="str">
        <f t="shared" si="61"/>
        <v>Conocoto</v>
      </c>
      <c r="D799" t="str">
        <f t="shared" si="60"/>
        <v>Conocoto</v>
      </c>
      <c r="E799" t="str">
        <f t="shared" si="62"/>
        <v>EC170156</v>
      </c>
      <c r="F799" t="str">
        <f>_xlfn.XLOOKUP(G799,ecu_admgz_adm2!D:D,ecu_admgz_adm2!C:C)</f>
        <v>Distrito Metropolitano de Quito</v>
      </c>
      <c r="G799" t="str">
        <f t="shared" si="63"/>
        <v>EC1701</v>
      </c>
      <c r="H799" t="str">
        <f t="shared" si="64"/>
        <v>EC17</v>
      </c>
      <c r="I799" t="str">
        <f>_xlfn.XLOOKUP(H799,eci_admgz_adm1!D:D,eci_admgz_adm1!C:C)</f>
        <v>Pichincha</v>
      </c>
      <c r="J799" t="s">
        <v>2021</v>
      </c>
      <c r="K799" s="1" t="s">
        <v>2023</v>
      </c>
    </row>
    <row r="800" spans="1:11" ht="16" x14ac:dyDescent="0.2">
      <c r="A800" t="s">
        <v>1519</v>
      </c>
      <c r="B800" t="s">
        <v>1520</v>
      </c>
      <c r="C800" t="str">
        <f t="shared" si="61"/>
        <v>Cumbayá</v>
      </c>
      <c r="D800" t="str">
        <f t="shared" si="60"/>
        <v>Cumbayá</v>
      </c>
      <c r="E800" t="str">
        <f t="shared" si="62"/>
        <v>EC170157</v>
      </c>
      <c r="F800" t="str">
        <f>_xlfn.XLOOKUP(G800,ecu_admgz_adm2!D:D,ecu_admgz_adm2!C:C)</f>
        <v>Distrito Metropolitano de Quito</v>
      </c>
      <c r="G800" t="str">
        <f t="shared" si="63"/>
        <v>EC1701</v>
      </c>
      <c r="H800" t="str">
        <f t="shared" si="64"/>
        <v>EC17</v>
      </c>
      <c r="I800" t="str">
        <f>_xlfn.XLOOKUP(H800,eci_admgz_adm1!D:D,eci_admgz_adm1!C:C)</f>
        <v>Pichincha</v>
      </c>
      <c r="J800" t="s">
        <v>2021</v>
      </c>
      <c r="K800" s="1" t="s">
        <v>2023</v>
      </c>
    </row>
    <row r="801" spans="1:11" ht="16" x14ac:dyDescent="0.2">
      <c r="A801" t="s">
        <v>1521</v>
      </c>
      <c r="B801" t="s">
        <v>1522</v>
      </c>
      <c r="C801" t="str">
        <f t="shared" si="61"/>
        <v>Chavezpamba</v>
      </c>
      <c r="D801" t="str">
        <f t="shared" si="60"/>
        <v>Chavezpamba</v>
      </c>
      <c r="E801" t="str">
        <f t="shared" si="62"/>
        <v>EC170158</v>
      </c>
      <c r="F801" t="str">
        <f>_xlfn.XLOOKUP(G801,ecu_admgz_adm2!D:D,ecu_admgz_adm2!C:C)</f>
        <v>Distrito Metropolitano de Quito</v>
      </c>
      <c r="G801" t="str">
        <f t="shared" si="63"/>
        <v>EC1701</v>
      </c>
      <c r="H801" t="str">
        <f t="shared" si="64"/>
        <v>EC17</v>
      </c>
      <c r="I801" t="str">
        <f>_xlfn.XLOOKUP(H801,eci_admgz_adm1!D:D,eci_admgz_adm1!C:C)</f>
        <v>Pichincha</v>
      </c>
      <c r="J801" t="s">
        <v>2021</v>
      </c>
      <c r="K801" s="1" t="s">
        <v>2023</v>
      </c>
    </row>
    <row r="802" spans="1:11" ht="16" x14ac:dyDescent="0.2">
      <c r="A802" t="s">
        <v>1523</v>
      </c>
      <c r="B802" t="s">
        <v>11</v>
      </c>
      <c r="C802" t="str">
        <f t="shared" si="61"/>
        <v>Checa</v>
      </c>
      <c r="D802" t="str">
        <f t="shared" si="60"/>
        <v>Checa</v>
      </c>
      <c r="E802" t="str">
        <f t="shared" si="62"/>
        <v>EC170159</v>
      </c>
      <c r="F802" t="str">
        <f>_xlfn.XLOOKUP(G802,ecu_admgz_adm2!D:D,ecu_admgz_adm2!C:C)</f>
        <v>Distrito Metropolitano de Quito</v>
      </c>
      <c r="G802" t="str">
        <f t="shared" si="63"/>
        <v>EC1701</v>
      </c>
      <c r="H802" t="str">
        <f t="shared" si="64"/>
        <v>EC17</v>
      </c>
      <c r="I802" t="str">
        <f>_xlfn.XLOOKUP(H802,eci_admgz_adm1!D:D,eci_admgz_adm1!C:C)</f>
        <v>Pichincha</v>
      </c>
      <c r="J802" t="s">
        <v>2021</v>
      </c>
      <c r="K802" s="1" t="s">
        <v>2023</v>
      </c>
    </row>
    <row r="803" spans="1:11" ht="16" x14ac:dyDescent="0.2">
      <c r="A803" t="s">
        <v>1524</v>
      </c>
      <c r="B803" t="s">
        <v>1525</v>
      </c>
      <c r="C803" t="str">
        <f t="shared" si="61"/>
        <v>El Quinche</v>
      </c>
      <c r="D803" t="str">
        <f t="shared" si="60"/>
        <v>El Quinche</v>
      </c>
      <c r="E803" t="str">
        <f t="shared" si="62"/>
        <v>EC170160</v>
      </c>
      <c r="F803" t="str">
        <f>_xlfn.XLOOKUP(G803,ecu_admgz_adm2!D:D,ecu_admgz_adm2!C:C)</f>
        <v>Distrito Metropolitano de Quito</v>
      </c>
      <c r="G803" t="str">
        <f t="shared" si="63"/>
        <v>EC1701</v>
      </c>
      <c r="H803" t="str">
        <f t="shared" si="64"/>
        <v>EC17</v>
      </c>
      <c r="I803" t="str">
        <f>_xlfn.XLOOKUP(H803,eci_admgz_adm1!D:D,eci_admgz_adm1!C:C)</f>
        <v>Pichincha</v>
      </c>
      <c r="J803" t="s">
        <v>2021</v>
      </c>
      <c r="K803" s="1" t="s">
        <v>2023</v>
      </c>
    </row>
    <row r="804" spans="1:11" ht="16" x14ac:dyDescent="0.2">
      <c r="A804" t="s">
        <v>1526</v>
      </c>
      <c r="B804" t="s">
        <v>1527</v>
      </c>
      <c r="C804" t="str">
        <f t="shared" si="61"/>
        <v>Gualea</v>
      </c>
      <c r="D804" t="str">
        <f t="shared" si="60"/>
        <v>Gualea</v>
      </c>
      <c r="E804" t="str">
        <f t="shared" si="62"/>
        <v>EC170161</v>
      </c>
      <c r="F804" t="str">
        <f>_xlfn.XLOOKUP(G804,ecu_admgz_adm2!D:D,ecu_admgz_adm2!C:C)</f>
        <v>Distrito Metropolitano de Quito</v>
      </c>
      <c r="G804" t="str">
        <f t="shared" si="63"/>
        <v>EC1701</v>
      </c>
      <c r="H804" t="str">
        <f t="shared" si="64"/>
        <v>EC17</v>
      </c>
      <c r="I804" t="str">
        <f>_xlfn.XLOOKUP(H804,eci_admgz_adm1!D:D,eci_admgz_adm1!C:C)</f>
        <v>Pichincha</v>
      </c>
      <c r="J804" t="s">
        <v>2021</v>
      </c>
      <c r="K804" s="1" t="s">
        <v>2023</v>
      </c>
    </row>
    <row r="805" spans="1:11" ht="16" x14ac:dyDescent="0.2">
      <c r="A805" t="s">
        <v>1528</v>
      </c>
      <c r="B805" t="s">
        <v>1529</v>
      </c>
      <c r="C805" t="str">
        <f t="shared" si="61"/>
        <v>Guangopolo</v>
      </c>
      <c r="D805" t="str">
        <f t="shared" si="60"/>
        <v>Guangopolo</v>
      </c>
      <c r="E805" t="str">
        <f t="shared" si="62"/>
        <v>EC170162</v>
      </c>
      <c r="F805" t="str">
        <f>_xlfn.XLOOKUP(G805,ecu_admgz_adm2!D:D,ecu_admgz_adm2!C:C)</f>
        <v>Distrito Metropolitano de Quito</v>
      </c>
      <c r="G805" t="str">
        <f t="shared" si="63"/>
        <v>EC1701</v>
      </c>
      <c r="H805" t="str">
        <f t="shared" si="64"/>
        <v>EC17</v>
      </c>
      <c r="I805" t="str">
        <f>_xlfn.XLOOKUP(H805,eci_admgz_adm1!D:D,eci_admgz_adm1!C:C)</f>
        <v>Pichincha</v>
      </c>
      <c r="J805" t="s">
        <v>2021</v>
      </c>
      <c r="K805" s="1" t="s">
        <v>2023</v>
      </c>
    </row>
    <row r="806" spans="1:11" ht="16" x14ac:dyDescent="0.2">
      <c r="A806" t="s">
        <v>1530</v>
      </c>
      <c r="B806" t="s">
        <v>1531</v>
      </c>
      <c r="C806" t="str">
        <f t="shared" si="61"/>
        <v>Guayllabamba</v>
      </c>
      <c r="D806" t="str">
        <f t="shared" si="60"/>
        <v>Guayllabamba</v>
      </c>
      <c r="E806" t="str">
        <f t="shared" si="62"/>
        <v>EC170163</v>
      </c>
      <c r="F806" t="str">
        <f>_xlfn.XLOOKUP(G806,ecu_admgz_adm2!D:D,ecu_admgz_adm2!C:C)</f>
        <v>Distrito Metropolitano de Quito</v>
      </c>
      <c r="G806" t="str">
        <f t="shared" si="63"/>
        <v>EC1701</v>
      </c>
      <c r="H806" t="str">
        <f t="shared" si="64"/>
        <v>EC17</v>
      </c>
      <c r="I806" t="str">
        <f>_xlfn.XLOOKUP(H806,eci_admgz_adm1!D:D,eci_admgz_adm1!C:C)</f>
        <v>Pichincha</v>
      </c>
      <c r="J806" t="s">
        <v>2021</v>
      </c>
      <c r="K806" s="1" t="s">
        <v>2023</v>
      </c>
    </row>
    <row r="807" spans="1:11" ht="16" x14ac:dyDescent="0.2">
      <c r="A807" t="s">
        <v>1532</v>
      </c>
      <c r="B807" t="s">
        <v>1533</v>
      </c>
      <c r="C807" t="str">
        <f t="shared" si="61"/>
        <v>La Merced</v>
      </c>
      <c r="D807" t="str">
        <f t="shared" si="60"/>
        <v>La Merced</v>
      </c>
      <c r="E807" t="str">
        <f t="shared" si="62"/>
        <v>EC170164</v>
      </c>
      <c r="F807" t="str">
        <f>_xlfn.XLOOKUP(G807,ecu_admgz_adm2!D:D,ecu_admgz_adm2!C:C)</f>
        <v>Distrito Metropolitano de Quito</v>
      </c>
      <c r="G807" t="str">
        <f t="shared" si="63"/>
        <v>EC1701</v>
      </c>
      <c r="H807" t="str">
        <f t="shared" si="64"/>
        <v>EC17</v>
      </c>
      <c r="I807" t="str">
        <f>_xlfn.XLOOKUP(H807,eci_admgz_adm1!D:D,eci_admgz_adm1!C:C)</f>
        <v>Pichincha</v>
      </c>
      <c r="J807" t="s">
        <v>2021</v>
      </c>
      <c r="K807" s="1" t="s">
        <v>2023</v>
      </c>
    </row>
    <row r="808" spans="1:11" ht="16" x14ac:dyDescent="0.2">
      <c r="A808" t="s">
        <v>1534</v>
      </c>
      <c r="B808" t="s">
        <v>1535</v>
      </c>
      <c r="C808" t="str">
        <f t="shared" si="61"/>
        <v>Llano Chico</v>
      </c>
      <c r="D808" t="str">
        <f t="shared" si="60"/>
        <v>Llano Chico</v>
      </c>
      <c r="E808" t="str">
        <f t="shared" si="62"/>
        <v>EC170165</v>
      </c>
      <c r="F808" t="str">
        <f>_xlfn.XLOOKUP(G808,ecu_admgz_adm2!D:D,ecu_admgz_adm2!C:C)</f>
        <v>Distrito Metropolitano de Quito</v>
      </c>
      <c r="G808" t="str">
        <f t="shared" si="63"/>
        <v>EC1701</v>
      </c>
      <c r="H808" t="str">
        <f t="shared" si="64"/>
        <v>EC17</v>
      </c>
      <c r="I808" t="str">
        <f>_xlfn.XLOOKUP(H808,eci_admgz_adm1!D:D,eci_admgz_adm1!C:C)</f>
        <v>Pichincha</v>
      </c>
      <c r="J808" t="s">
        <v>2021</v>
      </c>
      <c r="K808" s="1" t="s">
        <v>2023</v>
      </c>
    </row>
    <row r="809" spans="1:11" ht="16" x14ac:dyDescent="0.2">
      <c r="A809" t="s">
        <v>1536</v>
      </c>
      <c r="B809" t="s">
        <v>1537</v>
      </c>
      <c r="C809" t="str">
        <f t="shared" si="61"/>
        <v>Lloa</v>
      </c>
      <c r="D809" t="str">
        <f t="shared" si="60"/>
        <v>Lloa</v>
      </c>
      <c r="E809" t="str">
        <f t="shared" si="62"/>
        <v>EC170166</v>
      </c>
      <c r="F809" t="str">
        <f>_xlfn.XLOOKUP(G809,ecu_admgz_adm2!D:D,ecu_admgz_adm2!C:C)</f>
        <v>Distrito Metropolitano de Quito</v>
      </c>
      <c r="G809" t="str">
        <f t="shared" si="63"/>
        <v>EC1701</v>
      </c>
      <c r="H809" t="str">
        <f t="shared" si="64"/>
        <v>EC17</v>
      </c>
      <c r="I809" t="str">
        <f>_xlfn.XLOOKUP(H809,eci_admgz_adm1!D:D,eci_admgz_adm1!C:C)</f>
        <v>Pichincha</v>
      </c>
      <c r="J809" t="s">
        <v>2021</v>
      </c>
      <c r="K809" s="1" t="s">
        <v>2023</v>
      </c>
    </row>
    <row r="810" spans="1:11" ht="16" x14ac:dyDescent="0.2">
      <c r="A810" t="s">
        <v>1538</v>
      </c>
      <c r="B810" t="s">
        <v>1539</v>
      </c>
      <c r="C810" t="str">
        <f t="shared" si="61"/>
        <v>Nanegal</v>
      </c>
      <c r="D810" t="str">
        <f t="shared" si="60"/>
        <v>Nanegal</v>
      </c>
      <c r="E810" t="str">
        <f t="shared" si="62"/>
        <v>EC170168</v>
      </c>
      <c r="F810" t="str">
        <f>_xlfn.XLOOKUP(G810,ecu_admgz_adm2!D:D,ecu_admgz_adm2!C:C)</f>
        <v>Distrito Metropolitano de Quito</v>
      </c>
      <c r="G810" t="str">
        <f t="shared" si="63"/>
        <v>EC1701</v>
      </c>
      <c r="H810" t="str">
        <f t="shared" si="64"/>
        <v>EC17</v>
      </c>
      <c r="I810" t="str">
        <f>_xlfn.XLOOKUP(H810,eci_admgz_adm1!D:D,eci_admgz_adm1!C:C)</f>
        <v>Pichincha</v>
      </c>
      <c r="J810" t="s">
        <v>2021</v>
      </c>
      <c r="K810" s="1" t="s">
        <v>2023</v>
      </c>
    </row>
    <row r="811" spans="1:11" ht="16" x14ac:dyDescent="0.2">
      <c r="A811" t="s">
        <v>1540</v>
      </c>
      <c r="B811" t="s">
        <v>1541</v>
      </c>
      <c r="C811" t="str">
        <f t="shared" si="61"/>
        <v>Nanegalito</v>
      </c>
      <c r="D811" t="str">
        <f t="shared" si="60"/>
        <v>Nanegalito</v>
      </c>
      <c r="E811" t="str">
        <f t="shared" si="62"/>
        <v>EC170169</v>
      </c>
      <c r="F811" t="str">
        <f>_xlfn.XLOOKUP(G811,ecu_admgz_adm2!D:D,ecu_admgz_adm2!C:C)</f>
        <v>Distrito Metropolitano de Quito</v>
      </c>
      <c r="G811" t="str">
        <f t="shared" si="63"/>
        <v>EC1701</v>
      </c>
      <c r="H811" t="str">
        <f t="shared" si="64"/>
        <v>EC17</v>
      </c>
      <c r="I811" t="str">
        <f>_xlfn.XLOOKUP(H811,eci_admgz_adm1!D:D,eci_admgz_adm1!C:C)</f>
        <v>Pichincha</v>
      </c>
      <c r="J811" t="s">
        <v>2021</v>
      </c>
      <c r="K811" s="1" t="s">
        <v>2023</v>
      </c>
    </row>
    <row r="812" spans="1:11" ht="16" x14ac:dyDescent="0.2">
      <c r="A812" t="s">
        <v>1542</v>
      </c>
      <c r="B812" t="s">
        <v>1543</v>
      </c>
      <c r="C812" t="str">
        <f t="shared" si="61"/>
        <v>Nayón</v>
      </c>
      <c r="D812" t="str">
        <f t="shared" si="60"/>
        <v>Nayón</v>
      </c>
      <c r="E812" t="str">
        <f t="shared" si="62"/>
        <v>EC170170</v>
      </c>
      <c r="F812" t="str">
        <f>_xlfn.XLOOKUP(G812,ecu_admgz_adm2!D:D,ecu_admgz_adm2!C:C)</f>
        <v>Distrito Metropolitano de Quito</v>
      </c>
      <c r="G812" t="str">
        <f t="shared" si="63"/>
        <v>EC1701</v>
      </c>
      <c r="H812" t="str">
        <f t="shared" si="64"/>
        <v>EC17</v>
      </c>
      <c r="I812" t="str">
        <f>_xlfn.XLOOKUP(H812,eci_admgz_adm1!D:D,eci_admgz_adm1!C:C)</f>
        <v>Pichincha</v>
      </c>
      <c r="J812" t="s">
        <v>2021</v>
      </c>
      <c r="K812" s="1" t="s">
        <v>2023</v>
      </c>
    </row>
    <row r="813" spans="1:11" ht="16" x14ac:dyDescent="0.2">
      <c r="A813" t="s">
        <v>1544</v>
      </c>
      <c r="B813" t="s">
        <v>1545</v>
      </c>
      <c r="C813" t="str">
        <f t="shared" si="61"/>
        <v>Nono</v>
      </c>
      <c r="D813" t="str">
        <f t="shared" si="60"/>
        <v>Nono</v>
      </c>
      <c r="E813" t="str">
        <f t="shared" si="62"/>
        <v>EC170171</v>
      </c>
      <c r="F813" t="str">
        <f>_xlfn.XLOOKUP(G813,ecu_admgz_adm2!D:D,ecu_admgz_adm2!C:C)</f>
        <v>Distrito Metropolitano de Quito</v>
      </c>
      <c r="G813" t="str">
        <f t="shared" si="63"/>
        <v>EC1701</v>
      </c>
      <c r="H813" t="str">
        <f t="shared" si="64"/>
        <v>EC17</v>
      </c>
      <c r="I813" t="str">
        <f>_xlfn.XLOOKUP(H813,eci_admgz_adm1!D:D,eci_admgz_adm1!C:C)</f>
        <v>Pichincha</v>
      </c>
      <c r="J813" t="s">
        <v>2021</v>
      </c>
      <c r="K813" s="1" t="s">
        <v>2023</v>
      </c>
    </row>
    <row r="814" spans="1:11" ht="16" x14ac:dyDescent="0.2">
      <c r="A814" t="s">
        <v>1546</v>
      </c>
      <c r="B814" t="s">
        <v>1547</v>
      </c>
      <c r="C814" t="str">
        <f t="shared" si="61"/>
        <v>Pacto</v>
      </c>
      <c r="D814" t="str">
        <f t="shared" si="60"/>
        <v>Pacto</v>
      </c>
      <c r="E814" t="str">
        <f t="shared" si="62"/>
        <v>EC170172</v>
      </c>
      <c r="F814" t="str">
        <f>_xlfn.XLOOKUP(G814,ecu_admgz_adm2!D:D,ecu_admgz_adm2!C:C)</f>
        <v>Distrito Metropolitano de Quito</v>
      </c>
      <c r="G814" t="str">
        <f t="shared" si="63"/>
        <v>EC1701</v>
      </c>
      <c r="H814" t="str">
        <f t="shared" si="64"/>
        <v>EC17</v>
      </c>
      <c r="I814" t="str">
        <f>_xlfn.XLOOKUP(H814,eci_admgz_adm1!D:D,eci_admgz_adm1!C:C)</f>
        <v>Pichincha</v>
      </c>
      <c r="J814" t="s">
        <v>2021</v>
      </c>
      <c r="K814" s="1" t="s">
        <v>2023</v>
      </c>
    </row>
    <row r="815" spans="1:11" ht="16" x14ac:dyDescent="0.2">
      <c r="A815" t="s">
        <v>1548</v>
      </c>
      <c r="B815" t="s">
        <v>1549</v>
      </c>
      <c r="C815" t="str">
        <f t="shared" si="61"/>
        <v>Perucho</v>
      </c>
      <c r="D815" t="str">
        <f t="shared" si="60"/>
        <v>Perucho</v>
      </c>
      <c r="E815" t="str">
        <f t="shared" si="62"/>
        <v>EC170174</v>
      </c>
      <c r="F815" t="str">
        <f>_xlfn.XLOOKUP(G815,ecu_admgz_adm2!D:D,ecu_admgz_adm2!C:C)</f>
        <v>Distrito Metropolitano de Quito</v>
      </c>
      <c r="G815" t="str">
        <f t="shared" si="63"/>
        <v>EC1701</v>
      </c>
      <c r="H815" t="str">
        <f t="shared" si="64"/>
        <v>EC17</v>
      </c>
      <c r="I815" t="str">
        <f>_xlfn.XLOOKUP(H815,eci_admgz_adm1!D:D,eci_admgz_adm1!C:C)</f>
        <v>Pichincha</v>
      </c>
      <c r="J815" t="s">
        <v>2021</v>
      </c>
      <c r="K815" s="1" t="s">
        <v>2023</v>
      </c>
    </row>
    <row r="816" spans="1:11" ht="16" x14ac:dyDescent="0.2">
      <c r="A816" t="s">
        <v>1550</v>
      </c>
      <c r="B816" t="s">
        <v>1551</v>
      </c>
      <c r="C816" t="str">
        <f t="shared" si="61"/>
        <v>Pifo</v>
      </c>
      <c r="D816" t="str">
        <f t="shared" si="60"/>
        <v>Pifo</v>
      </c>
      <c r="E816" t="str">
        <f t="shared" si="62"/>
        <v>EC170175</v>
      </c>
      <c r="F816" t="str">
        <f>_xlfn.XLOOKUP(G816,ecu_admgz_adm2!D:D,ecu_admgz_adm2!C:C)</f>
        <v>Distrito Metropolitano de Quito</v>
      </c>
      <c r="G816" t="str">
        <f t="shared" si="63"/>
        <v>EC1701</v>
      </c>
      <c r="H816" t="str">
        <f t="shared" si="64"/>
        <v>EC17</v>
      </c>
      <c r="I816" t="str">
        <f>_xlfn.XLOOKUP(H816,eci_admgz_adm1!D:D,eci_admgz_adm1!C:C)</f>
        <v>Pichincha</v>
      </c>
      <c r="J816" t="s">
        <v>2021</v>
      </c>
      <c r="K816" s="1" t="s">
        <v>2023</v>
      </c>
    </row>
    <row r="817" spans="1:11" ht="16" x14ac:dyDescent="0.2">
      <c r="A817" t="s">
        <v>1552</v>
      </c>
      <c r="B817" t="s">
        <v>1553</v>
      </c>
      <c r="C817" t="str">
        <f t="shared" si="61"/>
        <v>Píntag</v>
      </c>
      <c r="D817" t="str">
        <f t="shared" si="60"/>
        <v>Píntag</v>
      </c>
      <c r="E817" t="str">
        <f t="shared" si="62"/>
        <v>EC170176</v>
      </c>
      <c r="F817" t="str">
        <f>_xlfn.XLOOKUP(G817,ecu_admgz_adm2!D:D,ecu_admgz_adm2!C:C)</f>
        <v>Distrito Metropolitano de Quito</v>
      </c>
      <c r="G817" t="str">
        <f t="shared" si="63"/>
        <v>EC1701</v>
      </c>
      <c r="H817" t="str">
        <f t="shared" si="64"/>
        <v>EC17</v>
      </c>
      <c r="I817" t="str">
        <f>_xlfn.XLOOKUP(H817,eci_admgz_adm1!D:D,eci_admgz_adm1!C:C)</f>
        <v>Pichincha</v>
      </c>
      <c r="J817" t="s">
        <v>2021</v>
      </c>
      <c r="K817" s="1" t="s">
        <v>2023</v>
      </c>
    </row>
    <row r="818" spans="1:11" ht="16" x14ac:dyDescent="0.2">
      <c r="A818" t="s">
        <v>1554</v>
      </c>
      <c r="B818" t="s">
        <v>1555</v>
      </c>
      <c r="C818" t="str">
        <f t="shared" si="61"/>
        <v>Pomasqui</v>
      </c>
      <c r="D818" t="str">
        <f t="shared" si="60"/>
        <v>Pomasqui</v>
      </c>
      <c r="E818" t="str">
        <f t="shared" si="62"/>
        <v>EC170177</v>
      </c>
      <c r="F818" t="str">
        <f>_xlfn.XLOOKUP(G818,ecu_admgz_adm2!D:D,ecu_admgz_adm2!C:C)</f>
        <v>Distrito Metropolitano de Quito</v>
      </c>
      <c r="G818" t="str">
        <f t="shared" si="63"/>
        <v>EC1701</v>
      </c>
      <c r="H818" t="str">
        <f t="shared" si="64"/>
        <v>EC17</v>
      </c>
      <c r="I818" t="str">
        <f>_xlfn.XLOOKUP(H818,eci_admgz_adm1!D:D,eci_admgz_adm1!C:C)</f>
        <v>Pichincha</v>
      </c>
      <c r="J818" t="s">
        <v>2021</v>
      </c>
      <c r="K818" s="1" t="s">
        <v>2023</v>
      </c>
    </row>
    <row r="819" spans="1:11" ht="16" x14ac:dyDescent="0.2">
      <c r="A819" t="s">
        <v>1556</v>
      </c>
      <c r="B819" t="s">
        <v>1557</v>
      </c>
      <c r="C819" t="str">
        <f t="shared" si="61"/>
        <v>Puéllaro</v>
      </c>
      <c r="D819" t="str">
        <f t="shared" si="60"/>
        <v>Puéllaro</v>
      </c>
      <c r="E819" t="str">
        <f t="shared" si="62"/>
        <v>EC170178</v>
      </c>
      <c r="F819" t="str">
        <f>_xlfn.XLOOKUP(G819,ecu_admgz_adm2!D:D,ecu_admgz_adm2!C:C)</f>
        <v>Distrito Metropolitano de Quito</v>
      </c>
      <c r="G819" t="str">
        <f t="shared" si="63"/>
        <v>EC1701</v>
      </c>
      <c r="H819" t="str">
        <f t="shared" si="64"/>
        <v>EC17</v>
      </c>
      <c r="I819" t="str">
        <f>_xlfn.XLOOKUP(H819,eci_admgz_adm1!D:D,eci_admgz_adm1!C:C)</f>
        <v>Pichincha</v>
      </c>
      <c r="J819" t="s">
        <v>2021</v>
      </c>
      <c r="K819" s="1" t="s">
        <v>2023</v>
      </c>
    </row>
    <row r="820" spans="1:11" ht="16" x14ac:dyDescent="0.2">
      <c r="A820" t="s">
        <v>1558</v>
      </c>
      <c r="B820" t="s">
        <v>1559</v>
      </c>
      <c r="C820" t="str">
        <f t="shared" si="61"/>
        <v>Puembo</v>
      </c>
      <c r="D820" t="str">
        <f t="shared" si="60"/>
        <v>Puembo</v>
      </c>
      <c r="E820" t="str">
        <f t="shared" si="62"/>
        <v>EC170179</v>
      </c>
      <c r="F820" t="str">
        <f>_xlfn.XLOOKUP(G820,ecu_admgz_adm2!D:D,ecu_admgz_adm2!C:C)</f>
        <v>Distrito Metropolitano de Quito</v>
      </c>
      <c r="G820" t="str">
        <f t="shared" si="63"/>
        <v>EC1701</v>
      </c>
      <c r="H820" t="str">
        <f t="shared" si="64"/>
        <v>EC17</v>
      </c>
      <c r="I820" t="str">
        <f>_xlfn.XLOOKUP(H820,eci_admgz_adm1!D:D,eci_admgz_adm1!C:C)</f>
        <v>Pichincha</v>
      </c>
      <c r="J820" t="s">
        <v>2021</v>
      </c>
      <c r="K820" s="1" t="s">
        <v>2023</v>
      </c>
    </row>
    <row r="821" spans="1:11" ht="16" x14ac:dyDescent="0.2">
      <c r="A821" t="s">
        <v>1560</v>
      </c>
      <c r="B821" t="s">
        <v>250</v>
      </c>
      <c r="C821" t="str">
        <f t="shared" si="61"/>
        <v>San Antonio</v>
      </c>
      <c r="D821" t="str">
        <f t="shared" si="60"/>
        <v>San Antonio</v>
      </c>
      <c r="E821" t="str">
        <f t="shared" si="62"/>
        <v>EC170180</v>
      </c>
      <c r="F821" t="str">
        <f>_xlfn.XLOOKUP(G821,ecu_admgz_adm2!D:D,ecu_admgz_adm2!C:C)</f>
        <v>Distrito Metropolitano de Quito</v>
      </c>
      <c r="G821" t="str">
        <f t="shared" si="63"/>
        <v>EC1701</v>
      </c>
      <c r="H821" t="str">
        <f t="shared" si="64"/>
        <v>EC17</v>
      </c>
      <c r="I821" t="str">
        <f>_xlfn.XLOOKUP(H821,eci_admgz_adm1!D:D,eci_admgz_adm1!C:C)</f>
        <v>Pichincha</v>
      </c>
      <c r="J821" t="s">
        <v>2021</v>
      </c>
      <c r="K821" s="1" t="s">
        <v>2023</v>
      </c>
    </row>
    <row r="822" spans="1:11" ht="16" x14ac:dyDescent="0.2">
      <c r="A822" t="s">
        <v>1561</v>
      </c>
      <c r="B822" t="s">
        <v>1562</v>
      </c>
      <c r="C822" t="str">
        <f t="shared" si="61"/>
        <v>San José De Minas</v>
      </c>
      <c r="D822" t="str">
        <f t="shared" si="60"/>
        <v>San José de Minas</v>
      </c>
      <c r="E822" t="str">
        <f t="shared" si="62"/>
        <v>EC170181</v>
      </c>
      <c r="F822" t="str">
        <f>_xlfn.XLOOKUP(G822,ecu_admgz_adm2!D:D,ecu_admgz_adm2!C:C)</f>
        <v>Distrito Metropolitano de Quito</v>
      </c>
      <c r="G822" t="str">
        <f t="shared" si="63"/>
        <v>EC1701</v>
      </c>
      <c r="H822" t="str">
        <f t="shared" si="64"/>
        <v>EC17</v>
      </c>
      <c r="I822" t="str">
        <f>_xlfn.XLOOKUP(H822,eci_admgz_adm1!D:D,eci_admgz_adm1!C:C)</f>
        <v>Pichincha</v>
      </c>
      <c r="J822" t="s">
        <v>2021</v>
      </c>
      <c r="K822" s="1" t="s">
        <v>2023</v>
      </c>
    </row>
    <row r="823" spans="1:11" ht="16" x14ac:dyDescent="0.2">
      <c r="A823" t="s">
        <v>1563</v>
      </c>
      <c r="B823" t="s">
        <v>1564</v>
      </c>
      <c r="C823" t="str">
        <f t="shared" si="61"/>
        <v>Tababela</v>
      </c>
      <c r="D823" t="str">
        <f t="shared" si="60"/>
        <v>Tababela</v>
      </c>
      <c r="E823" t="str">
        <f t="shared" si="62"/>
        <v>EC170183</v>
      </c>
      <c r="F823" t="str">
        <f>_xlfn.XLOOKUP(G823,ecu_admgz_adm2!D:D,ecu_admgz_adm2!C:C)</f>
        <v>Distrito Metropolitano de Quito</v>
      </c>
      <c r="G823" t="str">
        <f t="shared" si="63"/>
        <v>EC1701</v>
      </c>
      <c r="H823" t="str">
        <f t="shared" si="64"/>
        <v>EC17</v>
      </c>
      <c r="I823" t="str">
        <f>_xlfn.XLOOKUP(H823,eci_admgz_adm1!D:D,eci_admgz_adm1!C:C)</f>
        <v>Pichincha</v>
      </c>
      <c r="J823" t="s">
        <v>2021</v>
      </c>
      <c r="K823" s="1" t="s">
        <v>2023</v>
      </c>
    </row>
    <row r="824" spans="1:11" ht="16" x14ac:dyDescent="0.2">
      <c r="A824" t="s">
        <v>1565</v>
      </c>
      <c r="B824" t="s">
        <v>1566</v>
      </c>
      <c r="C824" t="str">
        <f t="shared" si="61"/>
        <v>Tumbaco</v>
      </c>
      <c r="D824" t="str">
        <f t="shared" si="60"/>
        <v>Tumbaco</v>
      </c>
      <c r="E824" t="str">
        <f t="shared" si="62"/>
        <v>EC170184</v>
      </c>
      <c r="F824" t="str">
        <f>_xlfn.XLOOKUP(G824,ecu_admgz_adm2!D:D,ecu_admgz_adm2!C:C)</f>
        <v>Distrito Metropolitano de Quito</v>
      </c>
      <c r="G824" t="str">
        <f t="shared" si="63"/>
        <v>EC1701</v>
      </c>
      <c r="H824" t="str">
        <f t="shared" si="64"/>
        <v>EC17</v>
      </c>
      <c r="I824" t="str">
        <f>_xlfn.XLOOKUP(H824,eci_admgz_adm1!D:D,eci_admgz_adm1!C:C)</f>
        <v>Pichincha</v>
      </c>
      <c r="J824" t="s">
        <v>2021</v>
      </c>
      <c r="K824" s="1" t="s">
        <v>2023</v>
      </c>
    </row>
    <row r="825" spans="1:11" ht="16" x14ac:dyDescent="0.2">
      <c r="A825" t="s">
        <v>1567</v>
      </c>
      <c r="B825" t="s">
        <v>1568</v>
      </c>
      <c r="C825" t="str">
        <f t="shared" si="61"/>
        <v>Yaruquí</v>
      </c>
      <c r="D825" t="str">
        <f t="shared" si="60"/>
        <v>Yaruquí</v>
      </c>
      <c r="E825" t="str">
        <f t="shared" si="62"/>
        <v>EC170185</v>
      </c>
      <c r="F825" t="str">
        <f>_xlfn.XLOOKUP(G825,ecu_admgz_adm2!D:D,ecu_admgz_adm2!C:C)</f>
        <v>Distrito Metropolitano de Quito</v>
      </c>
      <c r="G825" t="str">
        <f t="shared" si="63"/>
        <v>EC1701</v>
      </c>
      <c r="H825" t="str">
        <f t="shared" si="64"/>
        <v>EC17</v>
      </c>
      <c r="I825" t="str">
        <f>_xlfn.XLOOKUP(H825,eci_admgz_adm1!D:D,eci_admgz_adm1!C:C)</f>
        <v>Pichincha</v>
      </c>
      <c r="J825" t="s">
        <v>2021</v>
      </c>
      <c r="K825" s="1" t="s">
        <v>2023</v>
      </c>
    </row>
    <row r="826" spans="1:11" ht="16" x14ac:dyDescent="0.2">
      <c r="A826" t="s">
        <v>1569</v>
      </c>
      <c r="B826" t="s">
        <v>1570</v>
      </c>
      <c r="C826" t="str">
        <f t="shared" si="61"/>
        <v>Zámbiza</v>
      </c>
      <c r="D826" t="str">
        <f t="shared" si="60"/>
        <v>Zámbiza</v>
      </c>
      <c r="E826" t="str">
        <f t="shared" si="62"/>
        <v>EC170186</v>
      </c>
      <c r="F826" t="str">
        <f>_xlfn.XLOOKUP(G826,ecu_admgz_adm2!D:D,ecu_admgz_adm2!C:C)</f>
        <v>Distrito Metropolitano de Quito</v>
      </c>
      <c r="G826" t="str">
        <f t="shared" si="63"/>
        <v>EC1701</v>
      </c>
      <c r="H826" t="str">
        <f t="shared" si="64"/>
        <v>EC17</v>
      </c>
      <c r="I826" t="str">
        <f>_xlfn.XLOOKUP(H826,eci_admgz_adm1!D:D,eci_admgz_adm1!C:C)</f>
        <v>Pichincha</v>
      </c>
      <c r="J826" t="s">
        <v>2021</v>
      </c>
      <c r="K826" s="1" t="s">
        <v>2023</v>
      </c>
    </row>
    <row r="827" spans="1:11" ht="16" x14ac:dyDescent="0.2">
      <c r="A827" t="s">
        <v>1571</v>
      </c>
      <c r="B827" t="s">
        <v>1572</v>
      </c>
      <c r="C827" t="str">
        <f t="shared" si="61"/>
        <v>Cayambe</v>
      </c>
      <c r="D827" t="str">
        <f t="shared" si="60"/>
        <v>Cayambe</v>
      </c>
      <c r="E827" t="str">
        <f t="shared" si="62"/>
        <v>EC170250</v>
      </c>
      <c r="F827" t="str">
        <f>_xlfn.XLOOKUP(G827,ecu_admgz_adm2!D:D,ecu_admgz_adm2!C:C)</f>
        <v>Cayambe</v>
      </c>
      <c r="G827" t="str">
        <f t="shared" si="63"/>
        <v>EC1702</v>
      </c>
      <c r="H827" t="str">
        <f t="shared" si="64"/>
        <v>EC17</v>
      </c>
      <c r="I827" t="str">
        <f>_xlfn.XLOOKUP(H827,eci_admgz_adm1!D:D,eci_admgz_adm1!C:C)</f>
        <v>Pichincha</v>
      </c>
      <c r="J827" t="s">
        <v>2021</v>
      </c>
      <c r="K827" s="1" t="s">
        <v>2023</v>
      </c>
    </row>
    <row r="828" spans="1:11" ht="16" x14ac:dyDescent="0.2">
      <c r="A828" t="s">
        <v>1573</v>
      </c>
      <c r="B828" t="s">
        <v>1574</v>
      </c>
      <c r="C828" t="str">
        <f t="shared" si="61"/>
        <v>Ascázubi</v>
      </c>
      <c r="D828" t="str">
        <f t="shared" si="60"/>
        <v>Ascázubi</v>
      </c>
      <c r="E828" t="str">
        <f t="shared" si="62"/>
        <v>EC170251</v>
      </c>
      <c r="F828" t="str">
        <f>_xlfn.XLOOKUP(G828,ecu_admgz_adm2!D:D,ecu_admgz_adm2!C:C)</f>
        <v>Cayambe</v>
      </c>
      <c r="G828" t="str">
        <f t="shared" si="63"/>
        <v>EC1702</v>
      </c>
      <c r="H828" t="str">
        <f t="shared" si="64"/>
        <v>EC17</v>
      </c>
      <c r="I828" t="str">
        <f>_xlfn.XLOOKUP(H828,eci_admgz_adm1!D:D,eci_admgz_adm1!C:C)</f>
        <v>Pichincha</v>
      </c>
      <c r="J828" t="s">
        <v>2021</v>
      </c>
      <c r="K828" s="1" t="s">
        <v>2023</v>
      </c>
    </row>
    <row r="829" spans="1:11" ht="16" x14ac:dyDescent="0.2">
      <c r="A829" t="s">
        <v>1575</v>
      </c>
      <c r="B829" t="s">
        <v>1576</v>
      </c>
      <c r="C829" t="str">
        <f t="shared" si="61"/>
        <v>Cangahua</v>
      </c>
      <c r="D829" t="str">
        <f t="shared" si="60"/>
        <v>Cangahua</v>
      </c>
      <c r="E829" t="str">
        <f t="shared" si="62"/>
        <v>EC170252</v>
      </c>
      <c r="F829" t="str">
        <f>_xlfn.XLOOKUP(G829,ecu_admgz_adm2!D:D,ecu_admgz_adm2!C:C)</f>
        <v>Cayambe</v>
      </c>
      <c r="G829" t="str">
        <f t="shared" si="63"/>
        <v>EC1702</v>
      </c>
      <c r="H829" t="str">
        <f t="shared" si="64"/>
        <v>EC17</v>
      </c>
      <c r="I829" t="str">
        <f>_xlfn.XLOOKUP(H829,eci_admgz_adm1!D:D,eci_admgz_adm1!C:C)</f>
        <v>Pichincha</v>
      </c>
      <c r="J829" t="s">
        <v>2021</v>
      </c>
      <c r="K829" s="1" t="s">
        <v>2023</v>
      </c>
    </row>
    <row r="830" spans="1:11" ht="16" x14ac:dyDescent="0.2">
      <c r="A830" t="s">
        <v>1577</v>
      </c>
      <c r="B830" t="s">
        <v>1118</v>
      </c>
      <c r="C830" t="str">
        <f t="shared" si="61"/>
        <v>Olmedo</v>
      </c>
      <c r="D830" t="str">
        <f t="shared" si="60"/>
        <v>Olmedo</v>
      </c>
      <c r="E830" t="str">
        <f t="shared" si="62"/>
        <v>EC170253</v>
      </c>
      <c r="F830" t="str">
        <f>_xlfn.XLOOKUP(G830,ecu_admgz_adm2!D:D,ecu_admgz_adm2!C:C)</f>
        <v>Cayambe</v>
      </c>
      <c r="G830" t="str">
        <f t="shared" si="63"/>
        <v>EC1702</v>
      </c>
      <c r="H830" t="str">
        <f t="shared" si="64"/>
        <v>EC17</v>
      </c>
      <c r="I830" t="str">
        <f>_xlfn.XLOOKUP(H830,eci_admgz_adm1!D:D,eci_admgz_adm1!C:C)</f>
        <v>Pichincha</v>
      </c>
      <c r="J830" t="s">
        <v>2021</v>
      </c>
      <c r="K830" s="1" t="s">
        <v>2023</v>
      </c>
    </row>
    <row r="831" spans="1:11" ht="16" x14ac:dyDescent="0.2">
      <c r="A831" t="s">
        <v>1578</v>
      </c>
      <c r="B831" t="s">
        <v>1579</v>
      </c>
      <c r="C831" t="str">
        <f t="shared" si="61"/>
        <v>Otón</v>
      </c>
      <c r="D831" t="str">
        <f t="shared" si="60"/>
        <v>Otón</v>
      </c>
      <c r="E831" t="str">
        <f t="shared" si="62"/>
        <v>EC170254</v>
      </c>
      <c r="F831" t="str">
        <f>_xlfn.XLOOKUP(G831,ecu_admgz_adm2!D:D,ecu_admgz_adm2!C:C)</f>
        <v>Cayambe</v>
      </c>
      <c r="G831" t="str">
        <f t="shared" si="63"/>
        <v>EC1702</v>
      </c>
      <c r="H831" t="str">
        <f t="shared" si="64"/>
        <v>EC17</v>
      </c>
      <c r="I831" t="str">
        <f>_xlfn.XLOOKUP(H831,eci_admgz_adm1!D:D,eci_admgz_adm1!C:C)</f>
        <v>Pichincha</v>
      </c>
      <c r="J831" t="s">
        <v>2021</v>
      </c>
      <c r="K831" s="1" t="s">
        <v>2023</v>
      </c>
    </row>
    <row r="832" spans="1:11" ht="16" x14ac:dyDescent="0.2">
      <c r="A832" t="s">
        <v>1580</v>
      </c>
      <c r="B832" t="s">
        <v>1581</v>
      </c>
      <c r="C832" t="str">
        <f t="shared" si="61"/>
        <v>Santa Rosa De Cuzubamba</v>
      </c>
      <c r="D832" t="str">
        <f t="shared" si="60"/>
        <v>Santa Rosa de Cuzubamba</v>
      </c>
      <c r="E832" t="str">
        <f t="shared" si="62"/>
        <v>EC170255</v>
      </c>
      <c r="F832" t="str">
        <f>_xlfn.XLOOKUP(G832,ecu_admgz_adm2!D:D,ecu_admgz_adm2!C:C)</f>
        <v>Cayambe</v>
      </c>
      <c r="G832" t="str">
        <f t="shared" si="63"/>
        <v>EC1702</v>
      </c>
      <c r="H832" t="str">
        <f t="shared" si="64"/>
        <v>EC17</v>
      </c>
      <c r="I832" t="str">
        <f>_xlfn.XLOOKUP(H832,eci_admgz_adm1!D:D,eci_admgz_adm1!C:C)</f>
        <v>Pichincha</v>
      </c>
      <c r="J832" t="s">
        <v>2021</v>
      </c>
      <c r="K832" s="1" t="s">
        <v>2023</v>
      </c>
    </row>
    <row r="833" spans="1:11" ht="16" x14ac:dyDescent="0.2">
      <c r="A833" t="s">
        <v>1582</v>
      </c>
      <c r="B833" t="s">
        <v>1583</v>
      </c>
      <c r="C833" t="str">
        <f t="shared" si="61"/>
        <v>San José De Ayora</v>
      </c>
      <c r="D833" t="str">
        <f t="shared" si="60"/>
        <v>San José de Ayora</v>
      </c>
      <c r="E833" t="str">
        <f t="shared" si="62"/>
        <v>EC170256</v>
      </c>
      <c r="F833" t="str">
        <f>_xlfn.XLOOKUP(G833,ecu_admgz_adm2!D:D,ecu_admgz_adm2!C:C)</f>
        <v>Cayambe</v>
      </c>
      <c r="G833" t="str">
        <f t="shared" si="63"/>
        <v>EC1702</v>
      </c>
      <c r="H833" t="str">
        <f t="shared" si="64"/>
        <v>EC17</v>
      </c>
      <c r="I833" t="str">
        <f>_xlfn.XLOOKUP(H833,eci_admgz_adm1!D:D,eci_admgz_adm1!C:C)</f>
        <v>Pichincha</v>
      </c>
      <c r="J833" t="s">
        <v>2021</v>
      </c>
      <c r="K833" s="1" t="s">
        <v>2023</v>
      </c>
    </row>
    <row r="834" spans="1:11" ht="16" x14ac:dyDescent="0.2">
      <c r="A834" t="s">
        <v>1584</v>
      </c>
      <c r="B834" t="s">
        <v>1585</v>
      </c>
      <c r="C834" t="str">
        <f t="shared" si="61"/>
        <v>Machachi</v>
      </c>
      <c r="D834" t="str">
        <f t="shared" ref="D834:D897" si="65">SUBSTITUTE(SUBSTITUTE(SUBSTITUTE(SUBSTITUTE(SUBSTITUTE(SUBSTITUTE(PROPER($C834)," De "," de ")," La "," la ")," Del "," del ")," Los "," los ")," Y "," y "),"En","en")</f>
        <v>Machachi</v>
      </c>
      <c r="E834" t="str">
        <f t="shared" si="62"/>
        <v>EC170350</v>
      </c>
      <c r="F834" t="str">
        <f>_xlfn.XLOOKUP(G834,ecu_admgz_adm2!D:D,ecu_admgz_adm2!C:C)</f>
        <v>Mejía</v>
      </c>
      <c r="G834" t="str">
        <f t="shared" si="63"/>
        <v>EC1703</v>
      </c>
      <c r="H834" t="str">
        <f t="shared" si="64"/>
        <v>EC17</v>
      </c>
      <c r="I834" t="str">
        <f>_xlfn.XLOOKUP(H834,eci_admgz_adm1!D:D,eci_admgz_adm1!C:C)</f>
        <v>Pichincha</v>
      </c>
      <c r="J834" t="s">
        <v>2021</v>
      </c>
      <c r="K834" s="1" t="s">
        <v>2023</v>
      </c>
    </row>
    <row r="835" spans="1:11" ht="16" x14ac:dyDescent="0.2">
      <c r="A835" t="s">
        <v>1586</v>
      </c>
      <c r="B835" t="s">
        <v>1587</v>
      </c>
      <c r="C835" t="str">
        <f t="shared" ref="C835:C898" si="66">PROPER(B835)</f>
        <v>Aloag</v>
      </c>
      <c r="D835" t="str">
        <f t="shared" si="65"/>
        <v>Aloag</v>
      </c>
      <c r="E835" t="str">
        <f t="shared" ref="E835:E898" si="67">"EC"&amp;A835</f>
        <v>EC170351</v>
      </c>
      <c r="F835" t="str">
        <f>_xlfn.XLOOKUP(G835,ecu_admgz_adm2!D:D,ecu_admgz_adm2!C:C)</f>
        <v>Mejía</v>
      </c>
      <c r="G835" t="str">
        <f t="shared" ref="G835:G898" si="68">LEFT(E835,6)</f>
        <v>EC1703</v>
      </c>
      <c r="H835" t="str">
        <f t="shared" ref="H835:H898" si="69">LEFT(G835,4)</f>
        <v>EC17</v>
      </c>
      <c r="I835" t="str">
        <f>_xlfn.XLOOKUP(H835,eci_admgz_adm1!D:D,eci_admgz_adm1!C:C)</f>
        <v>Pichincha</v>
      </c>
      <c r="J835" t="s">
        <v>2021</v>
      </c>
      <c r="K835" s="1" t="s">
        <v>2023</v>
      </c>
    </row>
    <row r="836" spans="1:11" ht="16" x14ac:dyDescent="0.2">
      <c r="A836" t="s">
        <v>1588</v>
      </c>
      <c r="B836" t="s">
        <v>1589</v>
      </c>
      <c r="C836" t="str">
        <f t="shared" si="66"/>
        <v>Aloasí</v>
      </c>
      <c r="D836" t="str">
        <f t="shared" si="65"/>
        <v>Aloasí</v>
      </c>
      <c r="E836" t="str">
        <f t="shared" si="67"/>
        <v>EC170352</v>
      </c>
      <c r="F836" t="str">
        <f>_xlfn.XLOOKUP(G836,ecu_admgz_adm2!D:D,ecu_admgz_adm2!C:C)</f>
        <v>Mejía</v>
      </c>
      <c r="G836" t="str">
        <f t="shared" si="68"/>
        <v>EC1703</v>
      </c>
      <c r="H836" t="str">
        <f t="shared" si="69"/>
        <v>EC17</v>
      </c>
      <c r="I836" t="str">
        <f>_xlfn.XLOOKUP(H836,eci_admgz_adm1!D:D,eci_admgz_adm1!C:C)</f>
        <v>Pichincha</v>
      </c>
      <c r="J836" t="s">
        <v>2021</v>
      </c>
      <c r="K836" s="1" t="s">
        <v>2023</v>
      </c>
    </row>
    <row r="837" spans="1:11" ht="16" x14ac:dyDescent="0.2">
      <c r="A837" t="s">
        <v>1590</v>
      </c>
      <c r="B837" t="s">
        <v>1591</v>
      </c>
      <c r="C837" t="str">
        <f t="shared" si="66"/>
        <v>Cutuglahua</v>
      </c>
      <c r="D837" t="str">
        <f t="shared" si="65"/>
        <v>Cutuglahua</v>
      </c>
      <c r="E837" t="str">
        <f t="shared" si="67"/>
        <v>EC170353</v>
      </c>
      <c r="F837" t="str">
        <f>_xlfn.XLOOKUP(G837,ecu_admgz_adm2!D:D,ecu_admgz_adm2!C:C)</f>
        <v>Mejía</v>
      </c>
      <c r="G837" t="str">
        <f t="shared" si="68"/>
        <v>EC1703</v>
      </c>
      <c r="H837" t="str">
        <f t="shared" si="69"/>
        <v>EC17</v>
      </c>
      <c r="I837" t="str">
        <f>_xlfn.XLOOKUP(H837,eci_admgz_adm1!D:D,eci_admgz_adm1!C:C)</f>
        <v>Pichincha</v>
      </c>
      <c r="J837" t="s">
        <v>2021</v>
      </c>
      <c r="K837" s="1" t="s">
        <v>2023</v>
      </c>
    </row>
    <row r="838" spans="1:11" ht="16" x14ac:dyDescent="0.2">
      <c r="A838" t="s">
        <v>1592</v>
      </c>
      <c r="B838" t="s">
        <v>1593</v>
      </c>
      <c r="C838" t="str">
        <f t="shared" si="66"/>
        <v>El Chaupi</v>
      </c>
      <c r="D838" t="str">
        <f t="shared" si="65"/>
        <v>El Chaupi</v>
      </c>
      <c r="E838" t="str">
        <f t="shared" si="67"/>
        <v>EC170354</v>
      </c>
      <c r="F838" t="str">
        <f>_xlfn.XLOOKUP(G838,ecu_admgz_adm2!D:D,ecu_admgz_adm2!C:C)</f>
        <v>Mejía</v>
      </c>
      <c r="G838" t="str">
        <f t="shared" si="68"/>
        <v>EC1703</v>
      </c>
      <c r="H838" t="str">
        <f t="shared" si="69"/>
        <v>EC17</v>
      </c>
      <c r="I838" t="str">
        <f>_xlfn.XLOOKUP(H838,eci_admgz_adm1!D:D,eci_admgz_adm1!C:C)</f>
        <v>Pichincha</v>
      </c>
      <c r="J838" t="s">
        <v>2021</v>
      </c>
      <c r="K838" s="1" t="s">
        <v>2023</v>
      </c>
    </row>
    <row r="839" spans="1:11" ht="16" x14ac:dyDescent="0.2">
      <c r="A839" t="s">
        <v>1594</v>
      </c>
      <c r="B839" t="s">
        <v>1595</v>
      </c>
      <c r="C839" t="str">
        <f t="shared" si="66"/>
        <v>Manuel Cornejo Astorga</v>
      </c>
      <c r="D839" t="str">
        <f t="shared" si="65"/>
        <v>Manuel Cornejo Astorga</v>
      </c>
      <c r="E839" t="str">
        <f t="shared" si="67"/>
        <v>EC170355</v>
      </c>
      <c r="F839" t="str">
        <f>_xlfn.XLOOKUP(G839,ecu_admgz_adm2!D:D,ecu_admgz_adm2!C:C)</f>
        <v>Mejía</v>
      </c>
      <c r="G839" t="str">
        <f t="shared" si="68"/>
        <v>EC1703</v>
      </c>
      <c r="H839" t="str">
        <f t="shared" si="69"/>
        <v>EC17</v>
      </c>
      <c r="I839" t="str">
        <f>_xlfn.XLOOKUP(H839,eci_admgz_adm1!D:D,eci_admgz_adm1!C:C)</f>
        <v>Pichincha</v>
      </c>
      <c r="J839" t="s">
        <v>2021</v>
      </c>
      <c r="K839" s="1" t="s">
        <v>2023</v>
      </c>
    </row>
    <row r="840" spans="1:11" ht="16" x14ac:dyDescent="0.2">
      <c r="A840" t="s">
        <v>1596</v>
      </c>
      <c r="B840" t="s">
        <v>740</v>
      </c>
      <c r="C840" t="str">
        <f t="shared" si="66"/>
        <v>Tambillo</v>
      </c>
      <c r="D840" t="str">
        <f t="shared" si="65"/>
        <v>Tambillo</v>
      </c>
      <c r="E840" t="str">
        <f t="shared" si="67"/>
        <v>EC170356</v>
      </c>
      <c r="F840" t="str">
        <f>_xlfn.XLOOKUP(G840,ecu_admgz_adm2!D:D,ecu_admgz_adm2!C:C)</f>
        <v>Mejía</v>
      </c>
      <c r="G840" t="str">
        <f t="shared" si="68"/>
        <v>EC1703</v>
      </c>
      <c r="H840" t="str">
        <f t="shared" si="69"/>
        <v>EC17</v>
      </c>
      <c r="I840" t="str">
        <f>_xlfn.XLOOKUP(H840,eci_admgz_adm1!D:D,eci_admgz_adm1!C:C)</f>
        <v>Pichincha</v>
      </c>
      <c r="J840" t="s">
        <v>2021</v>
      </c>
      <c r="K840" s="1" t="s">
        <v>2023</v>
      </c>
    </row>
    <row r="841" spans="1:11" ht="16" x14ac:dyDescent="0.2">
      <c r="A841" t="s">
        <v>1597</v>
      </c>
      <c r="B841" t="s">
        <v>1598</v>
      </c>
      <c r="C841" t="str">
        <f t="shared" si="66"/>
        <v>Uyumbicho</v>
      </c>
      <c r="D841" t="str">
        <f t="shared" si="65"/>
        <v>Uyumbicho</v>
      </c>
      <c r="E841" t="str">
        <f t="shared" si="67"/>
        <v>EC170357</v>
      </c>
      <c r="F841" t="str">
        <f>_xlfn.XLOOKUP(G841,ecu_admgz_adm2!D:D,ecu_admgz_adm2!C:C)</f>
        <v>Mejía</v>
      </c>
      <c r="G841" t="str">
        <f t="shared" si="68"/>
        <v>EC1703</v>
      </c>
      <c r="H841" t="str">
        <f t="shared" si="69"/>
        <v>EC17</v>
      </c>
      <c r="I841" t="str">
        <f>_xlfn.XLOOKUP(H841,eci_admgz_adm1!D:D,eci_admgz_adm1!C:C)</f>
        <v>Pichincha</v>
      </c>
      <c r="J841" t="s">
        <v>2021</v>
      </c>
      <c r="K841" s="1" t="s">
        <v>2023</v>
      </c>
    </row>
    <row r="842" spans="1:11" ht="16" x14ac:dyDescent="0.2">
      <c r="A842" t="s">
        <v>1599</v>
      </c>
      <c r="B842" t="s">
        <v>1600</v>
      </c>
      <c r="C842" t="str">
        <f t="shared" si="66"/>
        <v>Tabacundo</v>
      </c>
      <c r="D842" t="str">
        <f t="shared" si="65"/>
        <v>Tabacundo</v>
      </c>
      <c r="E842" t="str">
        <f t="shared" si="67"/>
        <v>EC170450</v>
      </c>
      <c r="F842" t="str">
        <f>_xlfn.XLOOKUP(G842,ecu_admgz_adm2!D:D,ecu_admgz_adm2!C:C)</f>
        <v>Pedro Moncayo</v>
      </c>
      <c r="G842" t="str">
        <f t="shared" si="68"/>
        <v>EC1704</v>
      </c>
      <c r="H842" t="str">
        <f t="shared" si="69"/>
        <v>EC17</v>
      </c>
      <c r="I842" t="str">
        <f>_xlfn.XLOOKUP(H842,eci_admgz_adm1!D:D,eci_admgz_adm1!C:C)</f>
        <v>Pichincha</v>
      </c>
      <c r="J842" t="s">
        <v>2021</v>
      </c>
      <c r="K842" s="1" t="s">
        <v>2023</v>
      </c>
    </row>
    <row r="843" spans="1:11" ht="16" x14ac:dyDescent="0.2">
      <c r="A843" t="s">
        <v>1601</v>
      </c>
      <c r="B843" t="s">
        <v>876</v>
      </c>
      <c r="C843" t="str">
        <f t="shared" si="66"/>
        <v>La Esperanza</v>
      </c>
      <c r="D843" t="str">
        <f t="shared" si="65"/>
        <v>La Esperanza</v>
      </c>
      <c r="E843" t="str">
        <f t="shared" si="67"/>
        <v>EC170451</v>
      </c>
      <c r="F843" t="str">
        <f>_xlfn.XLOOKUP(G843,ecu_admgz_adm2!D:D,ecu_admgz_adm2!C:C)</f>
        <v>Pedro Moncayo</v>
      </c>
      <c r="G843" t="str">
        <f t="shared" si="68"/>
        <v>EC1704</v>
      </c>
      <c r="H843" t="str">
        <f t="shared" si="69"/>
        <v>EC17</v>
      </c>
      <c r="I843" t="str">
        <f>_xlfn.XLOOKUP(H843,eci_admgz_adm1!D:D,eci_admgz_adm1!C:C)</f>
        <v>Pichincha</v>
      </c>
      <c r="J843" t="s">
        <v>2021</v>
      </c>
      <c r="K843" s="1" t="s">
        <v>2023</v>
      </c>
    </row>
    <row r="844" spans="1:11" ht="16" x14ac:dyDescent="0.2">
      <c r="A844" t="s">
        <v>1602</v>
      </c>
      <c r="B844" t="s">
        <v>1603</v>
      </c>
      <c r="C844" t="str">
        <f t="shared" si="66"/>
        <v>Malchinguí</v>
      </c>
      <c r="D844" t="str">
        <f t="shared" si="65"/>
        <v>Malchinguí</v>
      </c>
      <c r="E844" t="str">
        <f t="shared" si="67"/>
        <v>EC170452</v>
      </c>
      <c r="F844" t="str">
        <f>_xlfn.XLOOKUP(G844,ecu_admgz_adm2!D:D,ecu_admgz_adm2!C:C)</f>
        <v>Pedro Moncayo</v>
      </c>
      <c r="G844" t="str">
        <f t="shared" si="68"/>
        <v>EC1704</v>
      </c>
      <c r="H844" t="str">
        <f t="shared" si="69"/>
        <v>EC17</v>
      </c>
      <c r="I844" t="str">
        <f>_xlfn.XLOOKUP(H844,eci_admgz_adm1!D:D,eci_admgz_adm1!C:C)</f>
        <v>Pichincha</v>
      </c>
      <c r="J844" t="s">
        <v>2021</v>
      </c>
      <c r="K844" s="1" t="s">
        <v>2023</v>
      </c>
    </row>
    <row r="845" spans="1:11" ht="16" x14ac:dyDescent="0.2">
      <c r="A845" t="s">
        <v>1604</v>
      </c>
      <c r="B845" t="s">
        <v>1605</v>
      </c>
      <c r="C845" t="str">
        <f t="shared" si="66"/>
        <v>Tocachi</v>
      </c>
      <c r="D845" t="str">
        <f t="shared" si="65"/>
        <v>Tocachi</v>
      </c>
      <c r="E845" t="str">
        <f t="shared" si="67"/>
        <v>EC170453</v>
      </c>
      <c r="F845" t="str">
        <f>_xlfn.XLOOKUP(G845,ecu_admgz_adm2!D:D,ecu_admgz_adm2!C:C)</f>
        <v>Pedro Moncayo</v>
      </c>
      <c r="G845" t="str">
        <f t="shared" si="68"/>
        <v>EC1704</v>
      </c>
      <c r="H845" t="str">
        <f t="shared" si="69"/>
        <v>EC17</v>
      </c>
      <c r="I845" t="str">
        <f>_xlfn.XLOOKUP(H845,eci_admgz_adm1!D:D,eci_admgz_adm1!C:C)</f>
        <v>Pichincha</v>
      </c>
      <c r="J845" t="s">
        <v>2021</v>
      </c>
      <c r="K845" s="1" t="s">
        <v>2023</v>
      </c>
    </row>
    <row r="846" spans="1:11" ht="16" x14ac:dyDescent="0.2">
      <c r="A846" t="s">
        <v>1606</v>
      </c>
      <c r="B846" t="s">
        <v>1607</v>
      </c>
      <c r="C846" t="str">
        <f t="shared" si="66"/>
        <v>Tupigachi</v>
      </c>
      <c r="D846" t="str">
        <f t="shared" si="65"/>
        <v>Tupigachi</v>
      </c>
      <c r="E846" t="str">
        <f t="shared" si="67"/>
        <v>EC170454</v>
      </c>
      <c r="F846" t="str">
        <f>_xlfn.XLOOKUP(G846,ecu_admgz_adm2!D:D,ecu_admgz_adm2!C:C)</f>
        <v>Pedro Moncayo</v>
      </c>
      <c r="G846" t="str">
        <f t="shared" si="68"/>
        <v>EC1704</v>
      </c>
      <c r="H846" t="str">
        <f t="shared" si="69"/>
        <v>EC17</v>
      </c>
      <c r="I846" t="str">
        <f>_xlfn.XLOOKUP(H846,eci_admgz_adm1!D:D,eci_admgz_adm1!C:C)</f>
        <v>Pichincha</v>
      </c>
      <c r="J846" t="s">
        <v>2021</v>
      </c>
      <c r="K846" s="1" t="s">
        <v>2023</v>
      </c>
    </row>
    <row r="847" spans="1:11" ht="16" x14ac:dyDescent="0.2">
      <c r="A847" t="s">
        <v>1608</v>
      </c>
      <c r="B847" t="s">
        <v>1609</v>
      </c>
      <c r="C847" t="str">
        <f t="shared" si="66"/>
        <v>Sangolquí</v>
      </c>
      <c r="D847" t="str">
        <f t="shared" si="65"/>
        <v>Sangolquí</v>
      </c>
      <c r="E847" t="str">
        <f t="shared" si="67"/>
        <v>EC170550</v>
      </c>
      <c r="F847" t="str">
        <f>_xlfn.XLOOKUP(G847,ecu_admgz_adm2!D:D,ecu_admgz_adm2!C:C)</f>
        <v>Rumiñahui</v>
      </c>
      <c r="G847" t="str">
        <f t="shared" si="68"/>
        <v>EC1705</v>
      </c>
      <c r="H847" t="str">
        <f t="shared" si="69"/>
        <v>EC17</v>
      </c>
      <c r="I847" t="str">
        <f>_xlfn.XLOOKUP(H847,eci_admgz_adm1!D:D,eci_admgz_adm1!C:C)</f>
        <v>Pichincha</v>
      </c>
      <c r="J847" t="s">
        <v>2021</v>
      </c>
      <c r="K847" s="1" t="s">
        <v>2023</v>
      </c>
    </row>
    <row r="848" spans="1:11" ht="16" x14ac:dyDescent="0.2">
      <c r="A848" t="s">
        <v>1610</v>
      </c>
      <c r="B848" t="s">
        <v>1611</v>
      </c>
      <c r="C848" t="str">
        <f t="shared" si="66"/>
        <v>Cotogchoa</v>
      </c>
      <c r="D848" t="str">
        <f t="shared" si="65"/>
        <v>Cotogchoa</v>
      </c>
      <c r="E848" t="str">
        <f t="shared" si="67"/>
        <v>EC170551</v>
      </c>
      <c r="F848" t="str">
        <f>_xlfn.XLOOKUP(G848,ecu_admgz_adm2!D:D,ecu_admgz_adm2!C:C)</f>
        <v>Rumiñahui</v>
      </c>
      <c r="G848" t="str">
        <f t="shared" si="68"/>
        <v>EC1705</v>
      </c>
      <c r="H848" t="str">
        <f t="shared" si="69"/>
        <v>EC17</v>
      </c>
      <c r="I848" t="str">
        <f>_xlfn.XLOOKUP(H848,eci_admgz_adm1!D:D,eci_admgz_adm1!C:C)</f>
        <v>Pichincha</v>
      </c>
      <c r="J848" t="s">
        <v>2021</v>
      </c>
      <c r="K848" s="1" t="s">
        <v>2023</v>
      </c>
    </row>
    <row r="849" spans="1:11" ht="16" x14ac:dyDescent="0.2">
      <c r="A849" t="s">
        <v>1612</v>
      </c>
      <c r="B849" t="s">
        <v>1613</v>
      </c>
      <c r="C849" t="str">
        <f t="shared" si="66"/>
        <v>Rumipamba</v>
      </c>
      <c r="D849" t="str">
        <f t="shared" si="65"/>
        <v>Rumipamba</v>
      </c>
      <c r="E849" t="str">
        <f t="shared" si="67"/>
        <v>EC170552</v>
      </c>
      <c r="F849" t="str">
        <f>_xlfn.XLOOKUP(G849,ecu_admgz_adm2!D:D,ecu_admgz_adm2!C:C)</f>
        <v>Rumiñahui</v>
      </c>
      <c r="G849" t="str">
        <f t="shared" si="68"/>
        <v>EC1705</v>
      </c>
      <c r="H849" t="str">
        <f t="shared" si="69"/>
        <v>EC17</v>
      </c>
      <c r="I849" t="str">
        <f>_xlfn.XLOOKUP(H849,eci_admgz_adm1!D:D,eci_admgz_adm1!C:C)</f>
        <v>Pichincha</v>
      </c>
      <c r="J849" t="s">
        <v>2021</v>
      </c>
      <c r="K849" s="1" t="s">
        <v>2023</v>
      </c>
    </row>
    <row r="850" spans="1:11" ht="16" x14ac:dyDescent="0.2">
      <c r="A850" t="s">
        <v>1614</v>
      </c>
      <c r="B850" t="s">
        <v>1615</v>
      </c>
      <c r="C850" t="str">
        <f t="shared" si="66"/>
        <v>San Miguel De Los Bancos</v>
      </c>
      <c r="D850" t="str">
        <f t="shared" si="65"/>
        <v>San Miguel de los Bancos</v>
      </c>
      <c r="E850" t="str">
        <f t="shared" si="67"/>
        <v>EC170750</v>
      </c>
      <c r="F850" t="str">
        <f>_xlfn.XLOOKUP(G850,ecu_admgz_adm2!D:D,ecu_admgz_adm2!C:C)</f>
        <v>San Miguel de los Bancos</v>
      </c>
      <c r="G850" t="str">
        <f t="shared" si="68"/>
        <v>EC1707</v>
      </c>
      <c r="H850" t="str">
        <f t="shared" si="69"/>
        <v>EC17</v>
      </c>
      <c r="I850" t="str">
        <f>_xlfn.XLOOKUP(H850,eci_admgz_adm1!D:D,eci_admgz_adm1!C:C)</f>
        <v>Pichincha</v>
      </c>
      <c r="J850" t="s">
        <v>2021</v>
      </c>
      <c r="K850" s="1" t="s">
        <v>2023</v>
      </c>
    </row>
    <row r="851" spans="1:11" ht="16" x14ac:dyDescent="0.2">
      <c r="A851" t="s">
        <v>1616</v>
      </c>
      <c r="B851" t="s">
        <v>1617</v>
      </c>
      <c r="C851" t="str">
        <f t="shared" si="66"/>
        <v>Mindo</v>
      </c>
      <c r="D851" t="str">
        <f t="shared" si="65"/>
        <v>Mindo</v>
      </c>
      <c r="E851" t="str">
        <f t="shared" si="67"/>
        <v>EC170751</v>
      </c>
      <c r="F851" t="str">
        <f>_xlfn.XLOOKUP(G851,ecu_admgz_adm2!D:D,ecu_admgz_adm2!C:C)</f>
        <v>San Miguel de los Bancos</v>
      </c>
      <c r="G851" t="str">
        <f t="shared" si="68"/>
        <v>EC1707</v>
      </c>
      <c r="H851" t="str">
        <f t="shared" si="69"/>
        <v>EC17</v>
      </c>
      <c r="I851" t="str">
        <f>_xlfn.XLOOKUP(H851,eci_admgz_adm1!D:D,eci_admgz_adm1!C:C)</f>
        <v>Pichincha</v>
      </c>
      <c r="J851" t="s">
        <v>2021</v>
      </c>
      <c r="K851" s="1" t="s">
        <v>2023</v>
      </c>
    </row>
    <row r="852" spans="1:11" ht="16" x14ac:dyDescent="0.2">
      <c r="A852" t="s">
        <v>1618</v>
      </c>
      <c r="B852" t="s">
        <v>1619</v>
      </c>
      <c r="C852" t="str">
        <f t="shared" si="66"/>
        <v>Pedro Vicente Maldonado</v>
      </c>
      <c r="D852" t="str">
        <f t="shared" si="65"/>
        <v>Pedro Vicente Maldonado</v>
      </c>
      <c r="E852" t="str">
        <f t="shared" si="67"/>
        <v>EC170850</v>
      </c>
      <c r="F852" t="str">
        <f>_xlfn.XLOOKUP(G852,ecu_admgz_adm2!D:D,ecu_admgz_adm2!C:C)</f>
        <v>Pedro Vicente Maldonado</v>
      </c>
      <c r="G852" t="str">
        <f t="shared" si="68"/>
        <v>EC1708</v>
      </c>
      <c r="H852" t="str">
        <f t="shared" si="69"/>
        <v>EC17</v>
      </c>
      <c r="I852" t="str">
        <f>_xlfn.XLOOKUP(H852,eci_admgz_adm1!D:D,eci_admgz_adm1!C:C)</f>
        <v>Pichincha</v>
      </c>
      <c r="J852" t="s">
        <v>2021</v>
      </c>
      <c r="K852" s="1" t="s">
        <v>2023</v>
      </c>
    </row>
    <row r="853" spans="1:11" ht="16" x14ac:dyDescent="0.2">
      <c r="A853" t="s">
        <v>1620</v>
      </c>
      <c r="B853" t="s">
        <v>1621</v>
      </c>
      <c r="C853" t="str">
        <f t="shared" si="66"/>
        <v>Puerto Quito</v>
      </c>
      <c r="D853" t="str">
        <f t="shared" si="65"/>
        <v>Puerto Quito</v>
      </c>
      <c r="E853" t="str">
        <f t="shared" si="67"/>
        <v>EC170950</v>
      </c>
      <c r="F853" t="str">
        <f>_xlfn.XLOOKUP(G853,ecu_admgz_adm2!D:D,ecu_admgz_adm2!C:C)</f>
        <v>Puerto Quito</v>
      </c>
      <c r="G853" t="str">
        <f t="shared" si="68"/>
        <v>EC1709</v>
      </c>
      <c r="H853" t="str">
        <f t="shared" si="69"/>
        <v>EC17</v>
      </c>
      <c r="I853" t="str">
        <f>_xlfn.XLOOKUP(H853,eci_admgz_adm1!D:D,eci_admgz_adm1!C:C)</f>
        <v>Pichincha</v>
      </c>
      <c r="J853" t="s">
        <v>2021</v>
      </c>
      <c r="K853" s="1" t="s">
        <v>2023</v>
      </c>
    </row>
    <row r="854" spans="1:11" ht="16" x14ac:dyDescent="0.2">
      <c r="A854" t="s">
        <v>1622</v>
      </c>
      <c r="B854" t="s">
        <v>1623</v>
      </c>
      <c r="C854" t="str">
        <f t="shared" si="66"/>
        <v>Ambato</v>
      </c>
      <c r="D854" t="str">
        <f t="shared" si="65"/>
        <v>Ambato</v>
      </c>
      <c r="E854" t="str">
        <f t="shared" si="67"/>
        <v>EC180150</v>
      </c>
      <c r="F854" t="str">
        <f>_xlfn.XLOOKUP(G854,ecu_admgz_adm2!D:D,ecu_admgz_adm2!C:C)</f>
        <v>Ambato</v>
      </c>
      <c r="G854" t="str">
        <f t="shared" si="68"/>
        <v>EC1801</v>
      </c>
      <c r="H854" t="str">
        <f t="shared" si="69"/>
        <v>EC18</v>
      </c>
      <c r="I854" t="str">
        <f>_xlfn.XLOOKUP(H854,eci_admgz_adm1!D:D,eci_admgz_adm1!C:C)</f>
        <v>Tungurahua</v>
      </c>
      <c r="J854" t="s">
        <v>2021</v>
      </c>
      <c r="K854" s="1" t="s">
        <v>2023</v>
      </c>
    </row>
    <row r="855" spans="1:11" ht="16" x14ac:dyDescent="0.2">
      <c r="A855" t="s">
        <v>1624</v>
      </c>
      <c r="B855" t="s">
        <v>1625</v>
      </c>
      <c r="C855" t="str">
        <f t="shared" si="66"/>
        <v>Ambatillo</v>
      </c>
      <c r="D855" t="str">
        <f t="shared" si="65"/>
        <v>Ambatillo</v>
      </c>
      <c r="E855" t="str">
        <f t="shared" si="67"/>
        <v>EC180151</v>
      </c>
      <c r="F855" t="str">
        <f>_xlfn.XLOOKUP(G855,ecu_admgz_adm2!D:D,ecu_admgz_adm2!C:C)</f>
        <v>Ambato</v>
      </c>
      <c r="G855" t="str">
        <f t="shared" si="68"/>
        <v>EC1801</v>
      </c>
      <c r="H855" t="str">
        <f t="shared" si="69"/>
        <v>EC18</v>
      </c>
      <c r="I855" t="str">
        <f>_xlfn.XLOOKUP(H855,eci_admgz_adm1!D:D,eci_admgz_adm1!C:C)</f>
        <v>Tungurahua</v>
      </c>
      <c r="J855" t="s">
        <v>2021</v>
      </c>
      <c r="K855" s="1" t="s">
        <v>2023</v>
      </c>
    </row>
    <row r="856" spans="1:11" ht="16" x14ac:dyDescent="0.2">
      <c r="A856" t="s">
        <v>1626</v>
      </c>
      <c r="B856" t="s">
        <v>536</v>
      </c>
      <c r="C856" t="str">
        <f t="shared" si="66"/>
        <v>Atahualpa</v>
      </c>
      <c r="D856" t="str">
        <f t="shared" si="65"/>
        <v>Atahualpa</v>
      </c>
      <c r="E856" t="str">
        <f t="shared" si="67"/>
        <v>EC180152</v>
      </c>
      <c r="F856" t="str">
        <f>_xlfn.XLOOKUP(G856,ecu_admgz_adm2!D:D,ecu_admgz_adm2!C:C)</f>
        <v>Ambato</v>
      </c>
      <c r="G856" t="str">
        <f t="shared" si="68"/>
        <v>EC1801</v>
      </c>
      <c r="H856" t="str">
        <f t="shared" si="69"/>
        <v>EC18</v>
      </c>
      <c r="I856" t="str">
        <f>_xlfn.XLOOKUP(H856,eci_admgz_adm1!D:D,eci_admgz_adm1!C:C)</f>
        <v>Tungurahua</v>
      </c>
      <c r="J856" t="s">
        <v>2021</v>
      </c>
      <c r="K856" s="1" t="s">
        <v>2023</v>
      </c>
    </row>
    <row r="857" spans="1:11" ht="16" x14ac:dyDescent="0.2">
      <c r="A857" t="s">
        <v>1627</v>
      </c>
      <c r="B857" t="s">
        <v>1628</v>
      </c>
      <c r="C857" t="str">
        <f t="shared" si="66"/>
        <v>Augusto N. Martínez</v>
      </c>
      <c r="D857" t="str">
        <f t="shared" si="65"/>
        <v>Augusto N. Martínez</v>
      </c>
      <c r="E857" t="str">
        <f t="shared" si="67"/>
        <v>EC180153</v>
      </c>
      <c r="F857" t="str">
        <f>_xlfn.XLOOKUP(G857,ecu_admgz_adm2!D:D,ecu_admgz_adm2!C:C)</f>
        <v>Ambato</v>
      </c>
      <c r="G857" t="str">
        <f t="shared" si="68"/>
        <v>EC1801</v>
      </c>
      <c r="H857" t="str">
        <f t="shared" si="69"/>
        <v>EC18</v>
      </c>
      <c r="I857" t="str">
        <f>_xlfn.XLOOKUP(H857,eci_admgz_adm1!D:D,eci_admgz_adm1!C:C)</f>
        <v>Tungurahua</v>
      </c>
      <c r="J857" t="s">
        <v>2021</v>
      </c>
      <c r="K857" s="1" t="s">
        <v>2023</v>
      </c>
    </row>
    <row r="858" spans="1:11" ht="16" x14ac:dyDescent="0.2">
      <c r="A858" t="s">
        <v>1629</v>
      </c>
      <c r="B858" t="s">
        <v>1630</v>
      </c>
      <c r="C858" t="str">
        <f t="shared" si="66"/>
        <v>Constantino Fernández</v>
      </c>
      <c r="D858" t="str">
        <f t="shared" si="65"/>
        <v>Constantino Fernández</v>
      </c>
      <c r="E858" t="str">
        <f t="shared" si="67"/>
        <v>EC180154</v>
      </c>
      <c r="F858" t="str">
        <f>_xlfn.XLOOKUP(G858,ecu_admgz_adm2!D:D,ecu_admgz_adm2!C:C)</f>
        <v>Ambato</v>
      </c>
      <c r="G858" t="str">
        <f t="shared" si="68"/>
        <v>EC1801</v>
      </c>
      <c r="H858" t="str">
        <f t="shared" si="69"/>
        <v>EC18</v>
      </c>
      <c r="I858" t="str">
        <f>_xlfn.XLOOKUP(H858,eci_admgz_adm1!D:D,eci_admgz_adm1!C:C)</f>
        <v>Tungurahua</v>
      </c>
      <c r="J858" t="s">
        <v>2021</v>
      </c>
      <c r="K858" s="1" t="s">
        <v>2023</v>
      </c>
    </row>
    <row r="859" spans="1:11" ht="16" x14ac:dyDescent="0.2">
      <c r="A859" t="s">
        <v>1631</v>
      </c>
      <c r="B859" t="s">
        <v>1632</v>
      </c>
      <c r="C859" t="str">
        <f t="shared" si="66"/>
        <v>Huachi Grande</v>
      </c>
      <c r="D859" t="str">
        <f t="shared" si="65"/>
        <v>Huachi Grande</v>
      </c>
      <c r="E859" t="str">
        <f t="shared" si="67"/>
        <v>EC180155</v>
      </c>
      <c r="F859" t="str">
        <f>_xlfn.XLOOKUP(G859,ecu_admgz_adm2!D:D,ecu_admgz_adm2!C:C)</f>
        <v>Ambato</v>
      </c>
      <c r="G859" t="str">
        <f t="shared" si="68"/>
        <v>EC1801</v>
      </c>
      <c r="H859" t="str">
        <f t="shared" si="69"/>
        <v>EC18</v>
      </c>
      <c r="I859" t="str">
        <f>_xlfn.XLOOKUP(H859,eci_admgz_adm1!D:D,eci_admgz_adm1!C:C)</f>
        <v>Tungurahua</v>
      </c>
      <c r="J859" t="s">
        <v>2021</v>
      </c>
      <c r="K859" s="1" t="s">
        <v>2023</v>
      </c>
    </row>
    <row r="860" spans="1:11" ht="16" x14ac:dyDescent="0.2">
      <c r="A860" t="s">
        <v>1633</v>
      </c>
      <c r="B860" t="s">
        <v>1634</v>
      </c>
      <c r="C860" t="str">
        <f t="shared" si="66"/>
        <v>Izamba</v>
      </c>
      <c r="D860" t="str">
        <f t="shared" si="65"/>
        <v>Izamba</v>
      </c>
      <c r="E860" t="str">
        <f t="shared" si="67"/>
        <v>EC180156</v>
      </c>
      <c r="F860" t="str">
        <f>_xlfn.XLOOKUP(G860,ecu_admgz_adm2!D:D,ecu_admgz_adm2!C:C)</f>
        <v>Ambato</v>
      </c>
      <c r="G860" t="str">
        <f t="shared" si="68"/>
        <v>EC1801</v>
      </c>
      <c r="H860" t="str">
        <f t="shared" si="69"/>
        <v>EC18</v>
      </c>
      <c r="I860" t="str">
        <f>_xlfn.XLOOKUP(H860,eci_admgz_adm1!D:D,eci_admgz_adm1!C:C)</f>
        <v>Tungurahua</v>
      </c>
      <c r="J860" t="s">
        <v>2021</v>
      </c>
      <c r="K860" s="1" t="s">
        <v>2023</v>
      </c>
    </row>
    <row r="861" spans="1:11" ht="16" x14ac:dyDescent="0.2">
      <c r="A861" t="s">
        <v>1635</v>
      </c>
      <c r="B861" t="s">
        <v>1636</v>
      </c>
      <c r="C861" t="str">
        <f t="shared" si="66"/>
        <v>Juan Benigno Vela</v>
      </c>
      <c r="D861" t="str">
        <f t="shared" si="65"/>
        <v>Juan Benigno Vela</v>
      </c>
      <c r="E861" t="str">
        <f t="shared" si="67"/>
        <v>EC180157</v>
      </c>
      <c r="F861" t="str">
        <f>_xlfn.XLOOKUP(G861,ecu_admgz_adm2!D:D,ecu_admgz_adm2!C:C)</f>
        <v>Ambato</v>
      </c>
      <c r="G861" t="str">
        <f t="shared" si="68"/>
        <v>EC1801</v>
      </c>
      <c r="H861" t="str">
        <f t="shared" si="69"/>
        <v>EC18</v>
      </c>
      <c r="I861" t="str">
        <f>_xlfn.XLOOKUP(H861,eci_admgz_adm1!D:D,eci_admgz_adm1!C:C)</f>
        <v>Tungurahua</v>
      </c>
      <c r="J861" t="s">
        <v>2021</v>
      </c>
      <c r="K861" s="1" t="s">
        <v>2023</v>
      </c>
    </row>
    <row r="862" spans="1:11" ht="16" x14ac:dyDescent="0.2">
      <c r="A862" t="s">
        <v>1637</v>
      </c>
      <c r="B862" t="s">
        <v>762</v>
      </c>
      <c r="C862" t="str">
        <f t="shared" si="66"/>
        <v>Montalvo</v>
      </c>
      <c r="D862" t="str">
        <f t="shared" si="65"/>
        <v>Montalvo</v>
      </c>
      <c r="E862" t="str">
        <f t="shared" si="67"/>
        <v>EC180158</v>
      </c>
      <c r="F862" t="str">
        <f>_xlfn.XLOOKUP(G862,ecu_admgz_adm2!D:D,ecu_admgz_adm2!C:C)</f>
        <v>Ambato</v>
      </c>
      <c r="G862" t="str">
        <f t="shared" si="68"/>
        <v>EC1801</v>
      </c>
      <c r="H862" t="str">
        <f t="shared" si="69"/>
        <v>EC18</v>
      </c>
      <c r="I862" t="str">
        <f>_xlfn.XLOOKUP(H862,eci_admgz_adm1!D:D,eci_admgz_adm1!C:C)</f>
        <v>Tungurahua</v>
      </c>
      <c r="J862" t="s">
        <v>2021</v>
      </c>
      <c r="K862" s="1" t="s">
        <v>2023</v>
      </c>
    </row>
    <row r="863" spans="1:11" ht="16" x14ac:dyDescent="0.2">
      <c r="A863" t="s">
        <v>1638</v>
      </c>
      <c r="B863" t="s">
        <v>1639</v>
      </c>
      <c r="C863" t="str">
        <f t="shared" si="66"/>
        <v>Pasa</v>
      </c>
      <c r="D863" t="str">
        <f t="shared" si="65"/>
        <v>Pasa</v>
      </c>
      <c r="E863" t="str">
        <f t="shared" si="67"/>
        <v>EC180159</v>
      </c>
      <c r="F863" t="str">
        <f>_xlfn.XLOOKUP(G863,ecu_admgz_adm2!D:D,ecu_admgz_adm2!C:C)</f>
        <v>Ambato</v>
      </c>
      <c r="G863" t="str">
        <f t="shared" si="68"/>
        <v>EC1801</v>
      </c>
      <c r="H863" t="str">
        <f t="shared" si="69"/>
        <v>EC18</v>
      </c>
      <c r="I863" t="str">
        <f>_xlfn.XLOOKUP(H863,eci_admgz_adm1!D:D,eci_admgz_adm1!C:C)</f>
        <v>Tungurahua</v>
      </c>
      <c r="J863" t="s">
        <v>2021</v>
      </c>
      <c r="K863" s="1" t="s">
        <v>2023</v>
      </c>
    </row>
    <row r="864" spans="1:11" ht="16" x14ac:dyDescent="0.2">
      <c r="A864" t="s">
        <v>1640</v>
      </c>
      <c r="B864" t="s">
        <v>1641</v>
      </c>
      <c r="C864" t="str">
        <f t="shared" si="66"/>
        <v>Picaihua</v>
      </c>
      <c r="D864" t="str">
        <f t="shared" si="65"/>
        <v>Picaihua</v>
      </c>
      <c r="E864" t="str">
        <f t="shared" si="67"/>
        <v>EC180160</v>
      </c>
      <c r="F864" t="str">
        <f>_xlfn.XLOOKUP(G864,ecu_admgz_adm2!D:D,ecu_admgz_adm2!C:C)</f>
        <v>Ambato</v>
      </c>
      <c r="G864" t="str">
        <f t="shared" si="68"/>
        <v>EC1801</v>
      </c>
      <c r="H864" t="str">
        <f t="shared" si="69"/>
        <v>EC18</v>
      </c>
      <c r="I864" t="str">
        <f>_xlfn.XLOOKUP(H864,eci_admgz_adm1!D:D,eci_admgz_adm1!C:C)</f>
        <v>Tungurahua</v>
      </c>
      <c r="J864" t="s">
        <v>2021</v>
      </c>
      <c r="K864" s="1" t="s">
        <v>2023</v>
      </c>
    </row>
    <row r="865" spans="1:11" ht="16" x14ac:dyDescent="0.2">
      <c r="A865" t="s">
        <v>1642</v>
      </c>
      <c r="B865" t="s">
        <v>1643</v>
      </c>
      <c r="C865" t="str">
        <f t="shared" si="66"/>
        <v>Pilagüín</v>
      </c>
      <c r="D865" t="str">
        <f t="shared" si="65"/>
        <v>Pilagüín</v>
      </c>
      <c r="E865" t="str">
        <f t="shared" si="67"/>
        <v>EC180161</v>
      </c>
      <c r="F865" t="str">
        <f>_xlfn.XLOOKUP(G865,ecu_admgz_adm2!D:D,ecu_admgz_adm2!C:C)</f>
        <v>Ambato</v>
      </c>
      <c r="G865" t="str">
        <f t="shared" si="68"/>
        <v>EC1801</v>
      </c>
      <c r="H865" t="str">
        <f t="shared" si="69"/>
        <v>EC18</v>
      </c>
      <c r="I865" t="str">
        <f>_xlfn.XLOOKUP(H865,eci_admgz_adm1!D:D,eci_admgz_adm1!C:C)</f>
        <v>Tungurahua</v>
      </c>
      <c r="J865" t="s">
        <v>2021</v>
      </c>
      <c r="K865" s="1" t="s">
        <v>2023</v>
      </c>
    </row>
    <row r="866" spans="1:11" ht="16" x14ac:dyDescent="0.2">
      <c r="A866" t="s">
        <v>1644</v>
      </c>
      <c r="B866" t="s">
        <v>1645</v>
      </c>
      <c r="C866" t="str">
        <f t="shared" si="66"/>
        <v>Quisapincha</v>
      </c>
      <c r="D866" t="str">
        <f t="shared" si="65"/>
        <v>Quisapincha</v>
      </c>
      <c r="E866" t="str">
        <f t="shared" si="67"/>
        <v>EC180162</v>
      </c>
      <c r="F866" t="str">
        <f>_xlfn.XLOOKUP(G866,ecu_admgz_adm2!D:D,ecu_admgz_adm2!C:C)</f>
        <v>Ambato</v>
      </c>
      <c r="G866" t="str">
        <f t="shared" si="68"/>
        <v>EC1801</v>
      </c>
      <c r="H866" t="str">
        <f t="shared" si="69"/>
        <v>EC18</v>
      </c>
      <c r="I866" t="str">
        <f>_xlfn.XLOOKUP(H866,eci_admgz_adm1!D:D,eci_admgz_adm1!C:C)</f>
        <v>Tungurahua</v>
      </c>
      <c r="J866" t="s">
        <v>2021</v>
      </c>
      <c r="K866" s="1" t="s">
        <v>2023</v>
      </c>
    </row>
    <row r="867" spans="1:11" ht="16" x14ac:dyDescent="0.2">
      <c r="A867" t="s">
        <v>1646</v>
      </c>
      <c r="B867" t="s">
        <v>1647</v>
      </c>
      <c r="C867" t="str">
        <f t="shared" si="66"/>
        <v>San Bartolomé De Pinllo</v>
      </c>
      <c r="D867" t="str">
        <f t="shared" si="65"/>
        <v>San Bartolomé de Pinllo</v>
      </c>
      <c r="E867" t="str">
        <f t="shared" si="67"/>
        <v>EC180163</v>
      </c>
      <c r="F867" t="str">
        <f>_xlfn.XLOOKUP(G867,ecu_admgz_adm2!D:D,ecu_admgz_adm2!C:C)</f>
        <v>Ambato</v>
      </c>
      <c r="G867" t="str">
        <f t="shared" si="68"/>
        <v>EC1801</v>
      </c>
      <c r="H867" t="str">
        <f t="shared" si="69"/>
        <v>EC18</v>
      </c>
      <c r="I867" t="str">
        <f>_xlfn.XLOOKUP(H867,eci_admgz_adm1!D:D,eci_admgz_adm1!C:C)</f>
        <v>Tungurahua</v>
      </c>
      <c r="J867" t="s">
        <v>2021</v>
      </c>
      <c r="K867" s="1" t="s">
        <v>2023</v>
      </c>
    </row>
    <row r="868" spans="1:11" ht="16" x14ac:dyDescent="0.2">
      <c r="A868" t="s">
        <v>1648</v>
      </c>
      <c r="B868" t="s">
        <v>99</v>
      </c>
      <c r="C868" t="str">
        <f t="shared" si="66"/>
        <v>San Fernando</v>
      </c>
      <c r="D868" t="str">
        <f t="shared" si="65"/>
        <v>San Fernando</v>
      </c>
      <c r="E868" t="str">
        <f t="shared" si="67"/>
        <v>EC180164</v>
      </c>
      <c r="F868" t="str">
        <f>_xlfn.XLOOKUP(G868,ecu_admgz_adm2!D:D,ecu_admgz_adm2!C:C)</f>
        <v>Ambato</v>
      </c>
      <c r="G868" t="str">
        <f t="shared" si="68"/>
        <v>EC1801</v>
      </c>
      <c r="H868" t="str">
        <f t="shared" si="69"/>
        <v>EC18</v>
      </c>
      <c r="I868" t="str">
        <f>_xlfn.XLOOKUP(H868,eci_admgz_adm1!D:D,eci_admgz_adm1!C:C)</f>
        <v>Tungurahua</v>
      </c>
      <c r="J868" t="s">
        <v>2021</v>
      </c>
      <c r="K868" s="1" t="s">
        <v>2023</v>
      </c>
    </row>
    <row r="869" spans="1:11" ht="16" x14ac:dyDescent="0.2">
      <c r="A869" t="s">
        <v>1649</v>
      </c>
      <c r="B869" t="s">
        <v>606</v>
      </c>
      <c r="C869" t="str">
        <f t="shared" si="66"/>
        <v>Santa Rosa</v>
      </c>
      <c r="D869" t="str">
        <f t="shared" si="65"/>
        <v>Santa Rosa</v>
      </c>
      <c r="E869" t="str">
        <f t="shared" si="67"/>
        <v>EC180165</v>
      </c>
      <c r="F869" t="str">
        <f>_xlfn.XLOOKUP(G869,ecu_admgz_adm2!D:D,ecu_admgz_adm2!C:C)</f>
        <v>Ambato</v>
      </c>
      <c r="G869" t="str">
        <f t="shared" si="68"/>
        <v>EC1801</v>
      </c>
      <c r="H869" t="str">
        <f t="shared" si="69"/>
        <v>EC18</v>
      </c>
      <c r="I869" t="str">
        <f>_xlfn.XLOOKUP(H869,eci_admgz_adm1!D:D,eci_admgz_adm1!C:C)</f>
        <v>Tungurahua</v>
      </c>
      <c r="J869" t="s">
        <v>2021</v>
      </c>
      <c r="K869" s="1" t="s">
        <v>2023</v>
      </c>
    </row>
    <row r="870" spans="1:11" ht="16" x14ac:dyDescent="0.2">
      <c r="A870" t="s">
        <v>1650</v>
      </c>
      <c r="B870" t="s">
        <v>1651</v>
      </c>
      <c r="C870" t="str">
        <f t="shared" si="66"/>
        <v>Totoras</v>
      </c>
      <c r="D870" t="str">
        <f t="shared" si="65"/>
        <v>Totoras</v>
      </c>
      <c r="E870" t="str">
        <f t="shared" si="67"/>
        <v>EC180166</v>
      </c>
      <c r="F870" t="str">
        <f>_xlfn.XLOOKUP(G870,ecu_admgz_adm2!D:D,ecu_admgz_adm2!C:C)</f>
        <v>Ambato</v>
      </c>
      <c r="G870" t="str">
        <f t="shared" si="68"/>
        <v>EC1801</v>
      </c>
      <c r="H870" t="str">
        <f t="shared" si="69"/>
        <v>EC18</v>
      </c>
      <c r="I870" t="str">
        <f>_xlfn.XLOOKUP(H870,eci_admgz_adm1!D:D,eci_admgz_adm1!C:C)</f>
        <v>Tungurahua</v>
      </c>
      <c r="J870" t="s">
        <v>2021</v>
      </c>
      <c r="K870" s="1" t="s">
        <v>2023</v>
      </c>
    </row>
    <row r="871" spans="1:11" ht="16" x14ac:dyDescent="0.2">
      <c r="A871" t="s">
        <v>1652</v>
      </c>
      <c r="B871" t="s">
        <v>1653</v>
      </c>
      <c r="C871" t="str">
        <f t="shared" si="66"/>
        <v>Cunchibamba</v>
      </c>
      <c r="D871" t="str">
        <f t="shared" si="65"/>
        <v>Cunchibamba</v>
      </c>
      <c r="E871" t="str">
        <f t="shared" si="67"/>
        <v>EC180167</v>
      </c>
      <c r="F871" t="str">
        <f>_xlfn.XLOOKUP(G871,ecu_admgz_adm2!D:D,ecu_admgz_adm2!C:C)</f>
        <v>Ambato</v>
      </c>
      <c r="G871" t="str">
        <f t="shared" si="68"/>
        <v>EC1801</v>
      </c>
      <c r="H871" t="str">
        <f t="shared" si="69"/>
        <v>EC18</v>
      </c>
      <c r="I871" t="str">
        <f>_xlfn.XLOOKUP(H871,eci_admgz_adm1!D:D,eci_admgz_adm1!C:C)</f>
        <v>Tungurahua</v>
      </c>
      <c r="J871" t="s">
        <v>2021</v>
      </c>
      <c r="K871" s="1" t="s">
        <v>2023</v>
      </c>
    </row>
    <row r="872" spans="1:11" ht="16" x14ac:dyDescent="0.2">
      <c r="A872" t="s">
        <v>1654</v>
      </c>
      <c r="B872" t="s">
        <v>1655</v>
      </c>
      <c r="C872" t="str">
        <f t="shared" si="66"/>
        <v>Unamuncho</v>
      </c>
      <c r="D872" t="str">
        <f t="shared" si="65"/>
        <v>Unamuncho</v>
      </c>
      <c r="E872" t="str">
        <f t="shared" si="67"/>
        <v>EC180168</v>
      </c>
      <c r="F872" t="str">
        <f>_xlfn.XLOOKUP(G872,ecu_admgz_adm2!D:D,ecu_admgz_adm2!C:C)</f>
        <v>Ambato</v>
      </c>
      <c r="G872" t="str">
        <f t="shared" si="68"/>
        <v>EC1801</v>
      </c>
      <c r="H872" t="str">
        <f t="shared" si="69"/>
        <v>EC18</v>
      </c>
      <c r="I872" t="str">
        <f>_xlfn.XLOOKUP(H872,eci_admgz_adm1!D:D,eci_admgz_adm1!C:C)</f>
        <v>Tungurahua</v>
      </c>
      <c r="J872" t="s">
        <v>2021</v>
      </c>
      <c r="K872" s="1" t="s">
        <v>2023</v>
      </c>
    </row>
    <row r="873" spans="1:11" ht="16" x14ac:dyDescent="0.2">
      <c r="A873" t="s">
        <v>1656</v>
      </c>
      <c r="B873" t="s">
        <v>5</v>
      </c>
      <c r="C873" t="str">
        <f t="shared" si="66"/>
        <v>Baños</v>
      </c>
      <c r="D873" t="str">
        <f t="shared" si="65"/>
        <v>Baños</v>
      </c>
      <c r="E873" t="str">
        <f t="shared" si="67"/>
        <v>EC180250</v>
      </c>
      <c r="F873" t="str">
        <f>_xlfn.XLOOKUP(G873,ecu_admgz_adm2!D:D,ecu_admgz_adm2!C:C)</f>
        <v>Baños de Agua Santa</v>
      </c>
      <c r="G873" t="str">
        <f t="shared" si="68"/>
        <v>EC1802</v>
      </c>
      <c r="H873" t="str">
        <f t="shared" si="69"/>
        <v>EC18</v>
      </c>
      <c r="I873" t="str">
        <f>_xlfn.XLOOKUP(H873,eci_admgz_adm1!D:D,eci_admgz_adm1!C:C)</f>
        <v>Tungurahua</v>
      </c>
      <c r="J873" t="s">
        <v>2021</v>
      </c>
      <c r="K873" s="1" t="s">
        <v>2023</v>
      </c>
    </row>
    <row r="874" spans="1:11" ht="16" x14ac:dyDescent="0.2">
      <c r="A874" t="s">
        <v>1657</v>
      </c>
      <c r="B874" t="s">
        <v>1658</v>
      </c>
      <c r="C874" t="str">
        <f t="shared" si="66"/>
        <v>Lligua</v>
      </c>
      <c r="D874" t="str">
        <f t="shared" si="65"/>
        <v>Lligua</v>
      </c>
      <c r="E874" t="str">
        <f t="shared" si="67"/>
        <v>EC180251</v>
      </c>
      <c r="F874" t="str">
        <f>_xlfn.XLOOKUP(G874,ecu_admgz_adm2!D:D,ecu_admgz_adm2!C:C)</f>
        <v>Baños de Agua Santa</v>
      </c>
      <c r="G874" t="str">
        <f t="shared" si="68"/>
        <v>EC1802</v>
      </c>
      <c r="H874" t="str">
        <f t="shared" si="69"/>
        <v>EC18</v>
      </c>
      <c r="I874" t="str">
        <f>_xlfn.XLOOKUP(H874,eci_admgz_adm1!D:D,eci_admgz_adm1!C:C)</f>
        <v>Tungurahua</v>
      </c>
      <c r="J874" t="s">
        <v>2021</v>
      </c>
      <c r="K874" s="1" t="s">
        <v>2023</v>
      </c>
    </row>
    <row r="875" spans="1:11" ht="16" x14ac:dyDescent="0.2">
      <c r="A875" t="s">
        <v>1659</v>
      </c>
      <c r="B875" t="s">
        <v>1660</v>
      </c>
      <c r="C875" t="str">
        <f t="shared" si="66"/>
        <v>Río Negro</v>
      </c>
      <c r="D875" t="str">
        <f t="shared" si="65"/>
        <v>Río Negro</v>
      </c>
      <c r="E875" t="str">
        <f t="shared" si="67"/>
        <v>EC180252</v>
      </c>
      <c r="F875" t="str">
        <f>_xlfn.XLOOKUP(G875,ecu_admgz_adm2!D:D,ecu_admgz_adm2!C:C)</f>
        <v>Baños de Agua Santa</v>
      </c>
      <c r="G875" t="str">
        <f t="shared" si="68"/>
        <v>EC1802</v>
      </c>
      <c r="H875" t="str">
        <f t="shared" si="69"/>
        <v>EC18</v>
      </c>
      <c r="I875" t="str">
        <f>_xlfn.XLOOKUP(H875,eci_admgz_adm1!D:D,eci_admgz_adm1!C:C)</f>
        <v>Tungurahua</v>
      </c>
      <c r="J875" t="s">
        <v>2021</v>
      </c>
      <c r="K875" s="1" t="s">
        <v>2023</v>
      </c>
    </row>
    <row r="876" spans="1:11" ht="16" x14ac:dyDescent="0.2">
      <c r="A876" t="s">
        <v>1661</v>
      </c>
      <c r="B876" t="s">
        <v>1662</v>
      </c>
      <c r="C876" t="str">
        <f t="shared" si="66"/>
        <v>Río Verde</v>
      </c>
      <c r="D876" t="str">
        <f t="shared" si="65"/>
        <v>Río Verde</v>
      </c>
      <c r="E876" t="str">
        <f t="shared" si="67"/>
        <v>EC180253</v>
      </c>
      <c r="F876" t="str">
        <f>_xlfn.XLOOKUP(G876,ecu_admgz_adm2!D:D,ecu_admgz_adm2!C:C)</f>
        <v>Baños de Agua Santa</v>
      </c>
      <c r="G876" t="str">
        <f t="shared" si="68"/>
        <v>EC1802</v>
      </c>
      <c r="H876" t="str">
        <f t="shared" si="69"/>
        <v>EC18</v>
      </c>
      <c r="I876" t="str">
        <f>_xlfn.XLOOKUP(H876,eci_admgz_adm1!D:D,eci_admgz_adm1!C:C)</f>
        <v>Tungurahua</v>
      </c>
      <c r="J876" t="s">
        <v>2021</v>
      </c>
      <c r="K876" s="1" t="s">
        <v>2023</v>
      </c>
    </row>
    <row r="877" spans="1:11" ht="16" x14ac:dyDescent="0.2">
      <c r="A877" t="s">
        <v>1663</v>
      </c>
      <c r="B877" t="s">
        <v>1664</v>
      </c>
      <c r="C877" t="str">
        <f t="shared" si="66"/>
        <v>Ulba</v>
      </c>
      <c r="D877" t="str">
        <f t="shared" si="65"/>
        <v>Ulba</v>
      </c>
      <c r="E877" t="str">
        <f t="shared" si="67"/>
        <v>EC180254</v>
      </c>
      <c r="F877" t="str">
        <f>_xlfn.XLOOKUP(G877,ecu_admgz_adm2!D:D,ecu_admgz_adm2!C:C)</f>
        <v>Baños de Agua Santa</v>
      </c>
      <c r="G877" t="str">
        <f t="shared" si="68"/>
        <v>EC1802</v>
      </c>
      <c r="H877" t="str">
        <f t="shared" si="69"/>
        <v>EC18</v>
      </c>
      <c r="I877" t="str">
        <f>_xlfn.XLOOKUP(H877,eci_admgz_adm1!D:D,eci_admgz_adm1!C:C)</f>
        <v>Tungurahua</v>
      </c>
      <c r="J877" t="s">
        <v>2021</v>
      </c>
      <c r="K877" s="1" t="s">
        <v>2023</v>
      </c>
    </row>
    <row r="878" spans="1:11" ht="16" x14ac:dyDescent="0.2">
      <c r="A878" t="s">
        <v>1665</v>
      </c>
      <c r="B878" t="s">
        <v>1666</v>
      </c>
      <c r="C878" t="str">
        <f t="shared" si="66"/>
        <v>Cevallos</v>
      </c>
      <c r="D878" t="str">
        <f t="shared" si="65"/>
        <v>Cevallos</v>
      </c>
      <c r="E878" t="str">
        <f t="shared" si="67"/>
        <v>EC180350</v>
      </c>
      <c r="F878" t="str">
        <f>_xlfn.XLOOKUP(G878,ecu_admgz_adm2!D:D,ecu_admgz_adm2!C:C)</f>
        <v>Cevallos</v>
      </c>
      <c r="G878" t="str">
        <f t="shared" si="68"/>
        <v>EC1803</v>
      </c>
      <c r="H878" t="str">
        <f t="shared" si="69"/>
        <v>EC18</v>
      </c>
      <c r="I878" t="str">
        <f>_xlfn.XLOOKUP(H878,eci_admgz_adm1!D:D,eci_admgz_adm1!C:C)</f>
        <v>Tungurahua</v>
      </c>
      <c r="J878" t="s">
        <v>2021</v>
      </c>
      <c r="K878" s="1" t="s">
        <v>2023</v>
      </c>
    </row>
    <row r="879" spans="1:11" ht="16" x14ac:dyDescent="0.2">
      <c r="A879" t="s">
        <v>1667</v>
      </c>
      <c r="B879" t="s">
        <v>1668</v>
      </c>
      <c r="C879" t="str">
        <f t="shared" si="66"/>
        <v>Mocha</v>
      </c>
      <c r="D879" t="str">
        <f t="shared" si="65"/>
        <v>Mocha</v>
      </c>
      <c r="E879" t="str">
        <f t="shared" si="67"/>
        <v>EC180450</v>
      </c>
      <c r="F879" t="str">
        <f>_xlfn.XLOOKUP(G879,ecu_admgz_adm2!D:D,ecu_admgz_adm2!C:C)</f>
        <v>Mocha</v>
      </c>
      <c r="G879" t="str">
        <f t="shared" si="68"/>
        <v>EC1804</v>
      </c>
      <c r="H879" t="str">
        <f t="shared" si="69"/>
        <v>EC18</v>
      </c>
      <c r="I879" t="str">
        <f>_xlfn.XLOOKUP(H879,eci_admgz_adm1!D:D,eci_admgz_adm1!C:C)</f>
        <v>Tungurahua</v>
      </c>
      <c r="J879" t="s">
        <v>2021</v>
      </c>
      <c r="K879" s="1" t="s">
        <v>2023</v>
      </c>
    </row>
    <row r="880" spans="1:11" ht="16" x14ac:dyDescent="0.2">
      <c r="A880" t="s">
        <v>1669</v>
      </c>
      <c r="B880" t="s">
        <v>1670</v>
      </c>
      <c r="C880" t="str">
        <f t="shared" si="66"/>
        <v>Pinguilí</v>
      </c>
      <c r="D880" t="str">
        <f t="shared" si="65"/>
        <v>Pinguilí</v>
      </c>
      <c r="E880" t="str">
        <f t="shared" si="67"/>
        <v>EC180451</v>
      </c>
      <c r="F880" t="str">
        <f>_xlfn.XLOOKUP(G880,ecu_admgz_adm2!D:D,ecu_admgz_adm2!C:C)</f>
        <v>Mocha</v>
      </c>
      <c r="G880" t="str">
        <f t="shared" si="68"/>
        <v>EC1804</v>
      </c>
      <c r="H880" t="str">
        <f t="shared" si="69"/>
        <v>EC18</v>
      </c>
      <c r="I880" t="str">
        <f>_xlfn.XLOOKUP(H880,eci_admgz_adm1!D:D,eci_admgz_adm1!C:C)</f>
        <v>Tungurahua</v>
      </c>
      <c r="J880" t="s">
        <v>2021</v>
      </c>
      <c r="K880" s="1" t="s">
        <v>2023</v>
      </c>
    </row>
    <row r="881" spans="1:11" ht="16" x14ac:dyDescent="0.2">
      <c r="A881" t="s">
        <v>1671</v>
      </c>
      <c r="B881" t="s">
        <v>1672</v>
      </c>
      <c r="C881" t="str">
        <f t="shared" si="66"/>
        <v>Patate</v>
      </c>
      <c r="D881" t="str">
        <f t="shared" si="65"/>
        <v>Patate</v>
      </c>
      <c r="E881" t="str">
        <f t="shared" si="67"/>
        <v>EC180550</v>
      </c>
      <c r="F881" t="str">
        <f>_xlfn.XLOOKUP(G881,ecu_admgz_adm2!D:D,ecu_admgz_adm2!C:C)</f>
        <v>Patate</v>
      </c>
      <c r="G881" t="str">
        <f t="shared" si="68"/>
        <v>EC1805</v>
      </c>
      <c r="H881" t="str">
        <f t="shared" si="69"/>
        <v>EC18</v>
      </c>
      <c r="I881" t="str">
        <f>_xlfn.XLOOKUP(H881,eci_admgz_adm1!D:D,eci_admgz_adm1!C:C)</f>
        <v>Tungurahua</v>
      </c>
      <c r="J881" t="s">
        <v>2021</v>
      </c>
      <c r="K881" s="1" t="s">
        <v>2023</v>
      </c>
    </row>
    <row r="882" spans="1:11" ht="16" x14ac:dyDescent="0.2">
      <c r="A882" t="s">
        <v>1673</v>
      </c>
      <c r="B882" t="s">
        <v>804</v>
      </c>
      <c r="C882" t="str">
        <f t="shared" si="66"/>
        <v>El Triunfo</v>
      </c>
      <c r="D882" t="str">
        <f t="shared" si="65"/>
        <v>El Triunfo</v>
      </c>
      <c r="E882" t="str">
        <f t="shared" si="67"/>
        <v>EC180551</v>
      </c>
      <c r="F882" t="str">
        <f>_xlfn.XLOOKUP(G882,ecu_admgz_adm2!D:D,ecu_admgz_adm2!C:C)</f>
        <v>Patate</v>
      </c>
      <c r="G882" t="str">
        <f t="shared" si="68"/>
        <v>EC1805</v>
      </c>
      <c r="H882" t="str">
        <f t="shared" si="69"/>
        <v>EC18</v>
      </c>
      <c r="I882" t="str">
        <f>_xlfn.XLOOKUP(H882,eci_admgz_adm1!D:D,eci_admgz_adm1!C:C)</f>
        <v>Tungurahua</v>
      </c>
      <c r="J882" t="s">
        <v>2021</v>
      </c>
      <c r="K882" s="1" t="s">
        <v>2023</v>
      </c>
    </row>
    <row r="883" spans="1:11" ht="16" x14ac:dyDescent="0.2">
      <c r="A883" t="s">
        <v>1674</v>
      </c>
      <c r="B883" t="s">
        <v>295</v>
      </c>
      <c r="C883" t="str">
        <f t="shared" si="66"/>
        <v>Los Andes</v>
      </c>
      <c r="D883" t="str">
        <f t="shared" si="65"/>
        <v>Los Andes</v>
      </c>
      <c r="E883" t="str">
        <f t="shared" si="67"/>
        <v>EC180552</v>
      </c>
      <c r="F883" t="str">
        <f>_xlfn.XLOOKUP(G883,ecu_admgz_adm2!D:D,ecu_admgz_adm2!C:C)</f>
        <v>Patate</v>
      </c>
      <c r="G883" t="str">
        <f t="shared" si="68"/>
        <v>EC1805</v>
      </c>
      <c r="H883" t="str">
        <f t="shared" si="69"/>
        <v>EC18</v>
      </c>
      <c r="I883" t="str">
        <f>_xlfn.XLOOKUP(H883,eci_admgz_adm1!D:D,eci_admgz_adm1!C:C)</f>
        <v>Tungurahua</v>
      </c>
      <c r="J883" t="s">
        <v>2021</v>
      </c>
      <c r="K883" s="1" t="s">
        <v>2023</v>
      </c>
    </row>
    <row r="884" spans="1:11" ht="16" x14ac:dyDescent="0.2">
      <c r="A884" t="s">
        <v>1675</v>
      </c>
      <c r="B884" t="s">
        <v>1275</v>
      </c>
      <c r="C884" t="str">
        <f t="shared" si="66"/>
        <v>Sucre</v>
      </c>
      <c r="D884" t="str">
        <f t="shared" si="65"/>
        <v>Sucre</v>
      </c>
      <c r="E884" t="str">
        <f t="shared" si="67"/>
        <v>EC180553</v>
      </c>
      <c r="F884" t="str">
        <f>_xlfn.XLOOKUP(G884,ecu_admgz_adm2!D:D,ecu_admgz_adm2!C:C)</f>
        <v>Patate</v>
      </c>
      <c r="G884" t="str">
        <f t="shared" si="68"/>
        <v>EC1805</v>
      </c>
      <c r="H884" t="str">
        <f t="shared" si="69"/>
        <v>EC18</v>
      </c>
      <c r="I884" t="str">
        <f>_xlfn.XLOOKUP(H884,eci_admgz_adm1!D:D,eci_admgz_adm1!C:C)</f>
        <v>Tungurahua</v>
      </c>
      <c r="J884" t="s">
        <v>2021</v>
      </c>
      <c r="K884" s="1" t="s">
        <v>2023</v>
      </c>
    </row>
    <row r="885" spans="1:11" ht="16" x14ac:dyDescent="0.2">
      <c r="A885" t="s">
        <v>1676</v>
      </c>
      <c r="B885" t="s">
        <v>1677</v>
      </c>
      <c r="C885" t="str">
        <f t="shared" si="66"/>
        <v>Quero</v>
      </c>
      <c r="D885" t="str">
        <f t="shared" si="65"/>
        <v>Quero</v>
      </c>
      <c r="E885" t="str">
        <f t="shared" si="67"/>
        <v>EC180650</v>
      </c>
      <c r="F885" t="str">
        <f>_xlfn.XLOOKUP(G885,ecu_admgz_adm2!D:D,ecu_admgz_adm2!C:C)</f>
        <v>Quero</v>
      </c>
      <c r="G885" t="str">
        <f t="shared" si="68"/>
        <v>EC1806</v>
      </c>
      <c r="H885" t="str">
        <f t="shared" si="69"/>
        <v>EC18</v>
      </c>
      <c r="I885" t="str">
        <f>_xlfn.XLOOKUP(H885,eci_admgz_adm1!D:D,eci_admgz_adm1!C:C)</f>
        <v>Tungurahua</v>
      </c>
      <c r="J885" t="s">
        <v>2021</v>
      </c>
      <c r="K885" s="1" t="s">
        <v>2023</v>
      </c>
    </row>
    <row r="886" spans="1:11" ht="16" x14ac:dyDescent="0.2">
      <c r="A886" t="s">
        <v>1678</v>
      </c>
      <c r="B886" t="s">
        <v>1613</v>
      </c>
      <c r="C886" t="str">
        <f t="shared" si="66"/>
        <v>Rumipamba</v>
      </c>
      <c r="D886" t="str">
        <f t="shared" si="65"/>
        <v>Rumipamba</v>
      </c>
      <c r="E886" t="str">
        <f t="shared" si="67"/>
        <v>EC180651</v>
      </c>
      <c r="F886" t="str">
        <f>_xlfn.XLOOKUP(G886,ecu_admgz_adm2!D:D,ecu_admgz_adm2!C:C)</f>
        <v>Quero</v>
      </c>
      <c r="G886" t="str">
        <f t="shared" si="68"/>
        <v>EC1806</v>
      </c>
      <c r="H886" t="str">
        <f t="shared" si="69"/>
        <v>EC18</v>
      </c>
      <c r="I886" t="str">
        <f>_xlfn.XLOOKUP(H886,eci_admgz_adm1!D:D,eci_admgz_adm1!C:C)</f>
        <v>Tungurahua</v>
      </c>
      <c r="J886" t="s">
        <v>2021</v>
      </c>
      <c r="K886" s="1" t="s">
        <v>2023</v>
      </c>
    </row>
    <row r="887" spans="1:11" ht="16" x14ac:dyDescent="0.2">
      <c r="A887" t="s">
        <v>1679</v>
      </c>
      <c r="B887" t="s">
        <v>1680</v>
      </c>
      <c r="C887" t="str">
        <f t="shared" si="66"/>
        <v>Yanayacu Mochapata</v>
      </c>
      <c r="D887" t="str">
        <f t="shared" si="65"/>
        <v>Yanayacu Mochapata</v>
      </c>
      <c r="E887" t="str">
        <f t="shared" si="67"/>
        <v>EC180652</v>
      </c>
      <c r="F887" t="str">
        <f>_xlfn.XLOOKUP(G887,ecu_admgz_adm2!D:D,ecu_admgz_adm2!C:C)</f>
        <v>Quero</v>
      </c>
      <c r="G887" t="str">
        <f t="shared" si="68"/>
        <v>EC1806</v>
      </c>
      <c r="H887" t="str">
        <f t="shared" si="69"/>
        <v>EC18</v>
      </c>
      <c r="I887" t="str">
        <f>_xlfn.XLOOKUP(H887,eci_admgz_adm1!D:D,eci_admgz_adm1!C:C)</f>
        <v>Tungurahua</v>
      </c>
      <c r="J887" t="s">
        <v>2021</v>
      </c>
      <c r="K887" s="1" t="s">
        <v>2023</v>
      </c>
    </row>
    <row r="888" spans="1:11" ht="16" x14ac:dyDescent="0.2">
      <c r="A888" t="s">
        <v>1681</v>
      </c>
      <c r="B888" t="s">
        <v>1682</v>
      </c>
      <c r="C888" t="str">
        <f t="shared" si="66"/>
        <v>Pelileo</v>
      </c>
      <c r="D888" t="str">
        <f t="shared" si="65"/>
        <v>Pelileo</v>
      </c>
      <c r="E888" t="str">
        <f t="shared" si="67"/>
        <v>EC180750</v>
      </c>
      <c r="F888" t="str">
        <f>_xlfn.XLOOKUP(G888,ecu_admgz_adm2!D:D,ecu_admgz_adm2!C:C)</f>
        <v>San Pedro de Pelileo</v>
      </c>
      <c r="G888" t="str">
        <f t="shared" si="68"/>
        <v>EC1807</v>
      </c>
      <c r="H888" t="str">
        <f t="shared" si="69"/>
        <v>EC18</v>
      </c>
      <c r="I888" t="str">
        <f>_xlfn.XLOOKUP(H888,eci_admgz_adm1!D:D,eci_admgz_adm1!C:C)</f>
        <v>Tungurahua</v>
      </c>
      <c r="J888" t="s">
        <v>2021</v>
      </c>
      <c r="K888" s="1" t="s">
        <v>2023</v>
      </c>
    </row>
    <row r="889" spans="1:11" ht="16" x14ac:dyDescent="0.2">
      <c r="A889" t="s">
        <v>1683</v>
      </c>
      <c r="B889" t="s">
        <v>1684</v>
      </c>
      <c r="C889" t="str">
        <f t="shared" si="66"/>
        <v>Benítez</v>
      </c>
      <c r="D889" t="str">
        <f t="shared" si="65"/>
        <v>Benítez</v>
      </c>
      <c r="E889" t="str">
        <f t="shared" si="67"/>
        <v>EC180751</v>
      </c>
      <c r="F889" t="str">
        <f>_xlfn.XLOOKUP(G889,ecu_admgz_adm2!D:D,ecu_admgz_adm2!C:C)</f>
        <v>San Pedro de Pelileo</v>
      </c>
      <c r="G889" t="str">
        <f t="shared" si="68"/>
        <v>EC1807</v>
      </c>
      <c r="H889" t="str">
        <f t="shared" si="69"/>
        <v>EC18</v>
      </c>
      <c r="I889" t="str">
        <f>_xlfn.XLOOKUP(H889,eci_admgz_adm1!D:D,eci_admgz_adm1!C:C)</f>
        <v>Tungurahua</v>
      </c>
      <c r="J889" t="s">
        <v>2021</v>
      </c>
      <c r="K889" s="1" t="s">
        <v>2023</v>
      </c>
    </row>
    <row r="890" spans="1:11" ht="16" x14ac:dyDescent="0.2">
      <c r="A890" t="s">
        <v>1685</v>
      </c>
      <c r="B890" t="s">
        <v>156</v>
      </c>
      <c r="C890" t="str">
        <f t="shared" si="66"/>
        <v>Bolívar</v>
      </c>
      <c r="D890" t="str">
        <f t="shared" si="65"/>
        <v>Bolívar</v>
      </c>
      <c r="E890" t="str">
        <f t="shared" si="67"/>
        <v>EC180752</v>
      </c>
      <c r="F890" t="str">
        <f>_xlfn.XLOOKUP(G890,ecu_admgz_adm2!D:D,ecu_admgz_adm2!C:C)</f>
        <v>San Pedro de Pelileo</v>
      </c>
      <c r="G890" t="str">
        <f t="shared" si="68"/>
        <v>EC1807</v>
      </c>
      <c r="H890" t="str">
        <f t="shared" si="69"/>
        <v>EC18</v>
      </c>
      <c r="I890" t="str">
        <f>_xlfn.XLOOKUP(H890,eci_admgz_adm1!D:D,eci_admgz_adm1!C:C)</f>
        <v>Tungurahua</v>
      </c>
      <c r="J890" t="s">
        <v>2021</v>
      </c>
      <c r="K890" s="1" t="s">
        <v>2023</v>
      </c>
    </row>
    <row r="891" spans="1:11" ht="16" x14ac:dyDescent="0.2">
      <c r="A891" t="s">
        <v>1686</v>
      </c>
      <c r="B891" t="s">
        <v>1687</v>
      </c>
      <c r="C891" t="str">
        <f t="shared" si="66"/>
        <v>Cotaló</v>
      </c>
      <c r="D891" t="str">
        <f t="shared" si="65"/>
        <v>Cotaló</v>
      </c>
      <c r="E891" t="str">
        <f t="shared" si="67"/>
        <v>EC180753</v>
      </c>
      <c r="F891" t="str">
        <f>_xlfn.XLOOKUP(G891,ecu_admgz_adm2!D:D,ecu_admgz_adm2!C:C)</f>
        <v>San Pedro de Pelileo</v>
      </c>
      <c r="G891" t="str">
        <f t="shared" si="68"/>
        <v>EC1807</v>
      </c>
      <c r="H891" t="str">
        <f t="shared" si="69"/>
        <v>EC18</v>
      </c>
      <c r="I891" t="str">
        <f>_xlfn.XLOOKUP(H891,eci_admgz_adm1!D:D,eci_admgz_adm1!C:C)</f>
        <v>Tungurahua</v>
      </c>
      <c r="J891" t="s">
        <v>2021</v>
      </c>
      <c r="K891" s="1" t="s">
        <v>2023</v>
      </c>
    </row>
    <row r="892" spans="1:11" ht="16" x14ac:dyDescent="0.2">
      <c r="A892" t="s">
        <v>1688</v>
      </c>
      <c r="B892" t="s">
        <v>1689</v>
      </c>
      <c r="C892" t="str">
        <f t="shared" si="66"/>
        <v>Chiquicha</v>
      </c>
      <c r="D892" t="str">
        <f t="shared" si="65"/>
        <v>Chiquicha</v>
      </c>
      <c r="E892" t="str">
        <f t="shared" si="67"/>
        <v>EC180754</v>
      </c>
      <c r="F892" t="str">
        <f>_xlfn.XLOOKUP(G892,ecu_admgz_adm2!D:D,ecu_admgz_adm2!C:C)</f>
        <v>San Pedro de Pelileo</v>
      </c>
      <c r="G892" t="str">
        <f t="shared" si="68"/>
        <v>EC1807</v>
      </c>
      <c r="H892" t="str">
        <f t="shared" si="69"/>
        <v>EC18</v>
      </c>
      <c r="I892" t="str">
        <f>_xlfn.XLOOKUP(H892,eci_admgz_adm1!D:D,eci_admgz_adm1!C:C)</f>
        <v>Tungurahua</v>
      </c>
      <c r="J892" t="s">
        <v>2021</v>
      </c>
      <c r="K892" s="1" t="s">
        <v>2023</v>
      </c>
    </row>
    <row r="893" spans="1:11" ht="16" x14ac:dyDescent="0.2">
      <c r="A893" t="s">
        <v>1690</v>
      </c>
      <c r="B893" t="s">
        <v>802</v>
      </c>
      <c r="C893" t="str">
        <f t="shared" si="66"/>
        <v>El Rosario</v>
      </c>
      <c r="D893" t="str">
        <f t="shared" si="65"/>
        <v>El Rosario</v>
      </c>
      <c r="E893" t="str">
        <f t="shared" si="67"/>
        <v>EC180755</v>
      </c>
      <c r="F893" t="str">
        <f>_xlfn.XLOOKUP(G893,ecu_admgz_adm2!D:D,ecu_admgz_adm2!C:C)</f>
        <v>San Pedro de Pelileo</v>
      </c>
      <c r="G893" t="str">
        <f t="shared" si="68"/>
        <v>EC1807</v>
      </c>
      <c r="H893" t="str">
        <f t="shared" si="69"/>
        <v>EC18</v>
      </c>
      <c r="I893" t="str">
        <f>_xlfn.XLOOKUP(H893,eci_admgz_adm1!D:D,eci_admgz_adm1!C:C)</f>
        <v>Tungurahua</v>
      </c>
      <c r="J893" t="s">
        <v>2021</v>
      </c>
      <c r="K893" s="1" t="s">
        <v>2023</v>
      </c>
    </row>
    <row r="894" spans="1:11" ht="16" x14ac:dyDescent="0.2">
      <c r="A894" t="s">
        <v>1691</v>
      </c>
      <c r="B894" t="s">
        <v>293</v>
      </c>
      <c r="C894" t="str">
        <f t="shared" si="66"/>
        <v>García Moreno</v>
      </c>
      <c r="D894" t="str">
        <f t="shared" si="65"/>
        <v>García Moreno</v>
      </c>
      <c r="E894" t="str">
        <f t="shared" si="67"/>
        <v>EC180756</v>
      </c>
      <c r="F894" t="str">
        <f>_xlfn.XLOOKUP(G894,ecu_admgz_adm2!D:D,ecu_admgz_adm2!C:C)</f>
        <v>San Pedro de Pelileo</v>
      </c>
      <c r="G894" t="str">
        <f t="shared" si="68"/>
        <v>EC1807</v>
      </c>
      <c r="H894" t="str">
        <f t="shared" si="69"/>
        <v>EC18</v>
      </c>
      <c r="I894" t="str">
        <f>_xlfn.XLOOKUP(H894,eci_admgz_adm1!D:D,eci_admgz_adm1!C:C)</f>
        <v>Tungurahua</v>
      </c>
      <c r="J894" t="s">
        <v>2021</v>
      </c>
      <c r="K894" s="1" t="s">
        <v>2023</v>
      </c>
    </row>
    <row r="895" spans="1:11" ht="16" x14ac:dyDescent="0.2">
      <c r="A895" t="s">
        <v>1692</v>
      </c>
      <c r="B895" t="s">
        <v>1693</v>
      </c>
      <c r="C895" t="str">
        <f t="shared" si="66"/>
        <v>Guambaló</v>
      </c>
      <c r="D895" t="str">
        <f t="shared" si="65"/>
        <v>Guambaló</v>
      </c>
      <c r="E895" t="str">
        <f t="shared" si="67"/>
        <v>EC180757</v>
      </c>
      <c r="F895" t="str">
        <f>_xlfn.XLOOKUP(G895,ecu_admgz_adm2!D:D,ecu_admgz_adm2!C:C)</f>
        <v>San Pedro de Pelileo</v>
      </c>
      <c r="G895" t="str">
        <f t="shared" si="68"/>
        <v>EC1807</v>
      </c>
      <c r="H895" t="str">
        <f t="shared" si="69"/>
        <v>EC18</v>
      </c>
      <c r="I895" t="str">
        <f>_xlfn.XLOOKUP(H895,eci_admgz_adm1!D:D,eci_admgz_adm1!C:C)</f>
        <v>Tungurahua</v>
      </c>
      <c r="J895" t="s">
        <v>2021</v>
      </c>
      <c r="K895" s="1" t="s">
        <v>2023</v>
      </c>
    </row>
    <row r="896" spans="1:11" ht="16" x14ac:dyDescent="0.2">
      <c r="A896" t="s">
        <v>1694</v>
      </c>
      <c r="B896" t="s">
        <v>1695</v>
      </c>
      <c r="C896" t="str">
        <f t="shared" si="66"/>
        <v>Salasaca</v>
      </c>
      <c r="D896" t="str">
        <f t="shared" si="65"/>
        <v>Salasaca</v>
      </c>
      <c r="E896" t="str">
        <f t="shared" si="67"/>
        <v>EC180758</v>
      </c>
      <c r="F896" t="str">
        <f>_xlfn.XLOOKUP(G896,ecu_admgz_adm2!D:D,ecu_admgz_adm2!C:C)</f>
        <v>San Pedro de Pelileo</v>
      </c>
      <c r="G896" t="str">
        <f t="shared" si="68"/>
        <v>EC1807</v>
      </c>
      <c r="H896" t="str">
        <f t="shared" si="69"/>
        <v>EC18</v>
      </c>
      <c r="I896" t="str">
        <f>_xlfn.XLOOKUP(H896,eci_admgz_adm1!D:D,eci_admgz_adm1!C:C)</f>
        <v>Tungurahua</v>
      </c>
      <c r="J896" t="s">
        <v>2021</v>
      </c>
      <c r="K896" s="1" t="s">
        <v>2023</v>
      </c>
    </row>
    <row r="897" spans="1:11" ht="16" x14ac:dyDescent="0.2">
      <c r="A897" t="s">
        <v>1696</v>
      </c>
      <c r="B897" t="s">
        <v>1697</v>
      </c>
      <c r="C897" t="str">
        <f t="shared" si="66"/>
        <v>Píllaro</v>
      </c>
      <c r="D897" t="str">
        <f t="shared" si="65"/>
        <v>Píllaro</v>
      </c>
      <c r="E897" t="str">
        <f t="shared" si="67"/>
        <v>EC180850</v>
      </c>
      <c r="F897" t="str">
        <f>_xlfn.XLOOKUP(G897,ecu_admgz_adm2!D:D,ecu_admgz_adm2!C:C)</f>
        <v>Santiago de Píllaro</v>
      </c>
      <c r="G897" t="str">
        <f t="shared" si="68"/>
        <v>EC1808</v>
      </c>
      <c r="H897" t="str">
        <f t="shared" si="69"/>
        <v>EC18</v>
      </c>
      <c r="I897" t="str">
        <f>_xlfn.XLOOKUP(H897,eci_admgz_adm1!D:D,eci_admgz_adm1!C:C)</f>
        <v>Tungurahua</v>
      </c>
      <c r="J897" t="s">
        <v>2021</v>
      </c>
      <c r="K897" s="1" t="s">
        <v>2023</v>
      </c>
    </row>
    <row r="898" spans="1:11" ht="16" x14ac:dyDescent="0.2">
      <c r="A898" t="s">
        <v>1698</v>
      </c>
      <c r="B898" t="s">
        <v>1699</v>
      </c>
      <c r="C898" t="str">
        <f t="shared" si="66"/>
        <v>Baquerizo Moreno</v>
      </c>
      <c r="D898" t="str">
        <f t="shared" ref="D898:D961" si="70">SUBSTITUTE(SUBSTITUTE(SUBSTITUTE(SUBSTITUTE(SUBSTITUTE(SUBSTITUTE(PROPER($C898)," De "," de ")," La "," la ")," Del "," del ")," Los "," los ")," Y "," y "),"En","en")</f>
        <v>Baquerizo Moreno</v>
      </c>
      <c r="E898" t="str">
        <f t="shared" si="67"/>
        <v>EC180851</v>
      </c>
      <c r="F898" t="str">
        <f>_xlfn.XLOOKUP(G898,ecu_admgz_adm2!D:D,ecu_admgz_adm2!C:C)</f>
        <v>Santiago de Píllaro</v>
      </c>
      <c r="G898" t="str">
        <f t="shared" si="68"/>
        <v>EC1808</v>
      </c>
      <c r="H898" t="str">
        <f t="shared" si="69"/>
        <v>EC18</v>
      </c>
      <c r="I898" t="str">
        <f>_xlfn.XLOOKUP(H898,eci_admgz_adm1!D:D,eci_admgz_adm1!C:C)</f>
        <v>Tungurahua</v>
      </c>
      <c r="J898" t="s">
        <v>2021</v>
      </c>
      <c r="K898" s="1" t="s">
        <v>2023</v>
      </c>
    </row>
    <row r="899" spans="1:11" ht="16" x14ac:dyDescent="0.2">
      <c r="A899" t="s">
        <v>1700</v>
      </c>
      <c r="B899" t="s">
        <v>1701</v>
      </c>
      <c r="C899" t="str">
        <f t="shared" ref="C899:C962" si="71">PROPER(B899)</f>
        <v>Emilio María Terán</v>
      </c>
      <c r="D899" t="str">
        <f t="shared" si="70"/>
        <v>Emilio María Terán</v>
      </c>
      <c r="E899" t="str">
        <f t="shared" ref="E899:E962" si="72">"EC"&amp;A899</f>
        <v>EC180852</v>
      </c>
      <c r="F899" t="str">
        <f>_xlfn.XLOOKUP(G899,ecu_admgz_adm2!D:D,ecu_admgz_adm2!C:C)</f>
        <v>Santiago de Píllaro</v>
      </c>
      <c r="G899" t="str">
        <f t="shared" ref="G899:G962" si="73">LEFT(E899,6)</f>
        <v>EC1808</v>
      </c>
      <c r="H899" t="str">
        <f t="shared" ref="H899:H962" si="74">LEFT(G899,4)</f>
        <v>EC18</v>
      </c>
      <c r="I899" t="str">
        <f>_xlfn.XLOOKUP(H899,eci_admgz_adm1!D:D,eci_admgz_adm1!C:C)</f>
        <v>Tungurahua</v>
      </c>
      <c r="J899" t="s">
        <v>2021</v>
      </c>
      <c r="K899" s="1" t="s">
        <v>2023</v>
      </c>
    </row>
    <row r="900" spans="1:11" ht="16" x14ac:dyDescent="0.2">
      <c r="A900" t="s">
        <v>1702</v>
      </c>
      <c r="B900" t="s">
        <v>1703</v>
      </c>
      <c r="C900" t="str">
        <f t="shared" si="71"/>
        <v>Marcos Espinel</v>
      </c>
      <c r="D900" t="str">
        <f t="shared" si="70"/>
        <v>Marcos Espinel</v>
      </c>
      <c r="E900" t="str">
        <f t="shared" si="72"/>
        <v>EC180853</v>
      </c>
      <c r="F900" t="str">
        <f>_xlfn.XLOOKUP(G900,ecu_admgz_adm2!D:D,ecu_admgz_adm2!C:C)</f>
        <v>Santiago de Píllaro</v>
      </c>
      <c r="G900" t="str">
        <f t="shared" si="73"/>
        <v>EC1808</v>
      </c>
      <c r="H900" t="str">
        <f t="shared" si="74"/>
        <v>EC18</v>
      </c>
      <c r="I900" t="str">
        <f>_xlfn.XLOOKUP(H900,eci_admgz_adm1!D:D,eci_admgz_adm1!C:C)</f>
        <v>Tungurahua</v>
      </c>
      <c r="J900" t="s">
        <v>2021</v>
      </c>
      <c r="K900" s="1" t="s">
        <v>2023</v>
      </c>
    </row>
    <row r="901" spans="1:11" ht="16" x14ac:dyDescent="0.2">
      <c r="A901" t="s">
        <v>1704</v>
      </c>
      <c r="B901" t="s">
        <v>1705</v>
      </c>
      <c r="C901" t="str">
        <f t="shared" si="71"/>
        <v>Presidente Urbina</v>
      </c>
      <c r="D901" t="str">
        <f t="shared" si="70"/>
        <v>Presidente Urbina</v>
      </c>
      <c r="E901" t="str">
        <f t="shared" si="72"/>
        <v>EC180854</v>
      </c>
      <c r="F901" t="str">
        <f>_xlfn.XLOOKUP(G901,ecu_admgz_adm2!D:D,ecu_admgz_adm2!C:C)</f>
        <v>Santiago de Píllaro</v>
      </c>
      <c r="G901" t="str">
        <f t="shared" si="73"/>
        <v>EC1808</v>
      </c>
      <c r="H901" t="str">
        <f t="shared" si="74"/>
        <v>EC18</v>
      </c>
      <c r="I901" t="str">
        <f>_xlfn.XLOOKUP(H901,eci_admgz_adm1!D:D,eci_admgz_adm1!C:C)</f>
        <v>Tungurahua</v>
      </c>
      <c r="J901" t="s">
        <v>2021</v>
      </c>
      <c r="K901" s="1" t="s">
        <v>2023</v>
      </c>
    </row>
    <row r="902" spans="1:11" ht="16" x14ac:dyDescent="0.2">
      <c r="A902" t="s">
        <v>1706</v>
      </c>
      <c r="B902" t="s">
        <v>493</v>
      </c>
      <c r="C902" t="str">
        <f t="shared" si="71"/>
        <v>San Andrés</v>
      </c>
      <c r="D902" t="str">
        <f t="shared" si="70"/>
        <v>San Andrés</v>
      </c>
      <c r="E902" t="str">
        <f t="shared" si="72"/>
        <v>EC180855</v>
      </c>
      <c r="F902" t="str">
        <f>_xlfn.XLOOKUP(G902,ecu_admgz_adm2!D:D,ecu_admgz_adm2!C:C)</f>
        <v>Santiago de Píllaro</v>
      </c>
      <c r="G902" t="str">
        <f t="shared" si="73"/>
        <v>EC1808</v>
      </c>
      <c r="H902" t="str">
        <f t="shared" si="74"/>
        <v>EC18</v>
      </c>
      <c r="I902" t="str">
        <f>_xlfn.XLOOKUP(H902,eci_admgz_adm1!D:D,eci_admgz_adm1!C:C)</f>
        <v>Tungurahua</v>
      </c>
      <c r="J902" t="s">
        <v>2021</v>
      </c>
      <c r="K902" s="1" t="s">
        <v>2023</v>
      </c>
    </row>
    <row r="903" spans="1:11" ht="16" x14ac:dyDescent="0.2">
      <c r="A903" t="s">
        <v>1707</v>
      </c>
      <c r="B903" t="s">
        <v>1708</v>
      </c>
      <c r="C903" t="str">
        <f t="shared" si="71"/>
        <v>San José De Poaló</v>
      </c>
      <c r="D903" t="str">
        <f t="shared" si="70"/>
        <v>San José de Poaló</v>
      </c>
      <c r="E903" t="str">
        <f t="shared" si="72"/>
        <v>EC180856</v>
      </c>
      <c r="F903" t="str">
        <f>_xlfn.XLOOKUP(G903,ecu_admgz_adm2!D:D,ecu_admgz_adm2!C:C)</f>
        <v>Santiago de Píllaro</v>
      </c>
      <c r="G903" t="str">
        <f t="shared" si="73"/>
        <v>EC1808</v>
      </c>
      <c r="H903" t="str">
        <f t="shared" si="74"/>
        <v>EC18</v>
      </c>
      <c r="I903" t="str">
        <f>_xlfn.XLOOKUP(H903,eci_admgz_adm1!D:D,eci_admgz_adm1!C:C)</f>
        <v>Tungurahua</v>
      </c>
      <c r="J903" t="s">
        <v>2021</v>
      </c>
      <c r="K903" s="1" t="s">
        <v>2023</v>
      </c>
    </row>
    <row r="904" spans="1:11" ht="16" x14ac:dyDescent="0.2">
      <c r="A904" t="s">
        <v>1709</v>
      </c>
      <c r="B904" t="s">
        <v>1710</v>
      </c>
      <c r="C904" t="str">
        <f t="shared" si="71"/>
        <v>San Miguelito</v>
      </c>
      <c r="D904" t="str">
        <f t="shared" si="70"/>
        <v>San Miguelito</v>
      </c>
      <c r="E904" t="str">
        <f t="shared" si="72"/>
        <v>EC180857</v>
      </c>
      <c r="F904" t="str">
        <f>_xlfn.XLOOKUP(G904,ecu_admgz_adm2!D:D,ecu_admgz_adm2!C:C)</f>
        <v>Santiago de Píllaro</v>
      </c>
      <c r="G904" t="str">
        <f t="shared" si="73"/>
        <v>EC1808</v>
      </c>
      <c r="H904" t="str">
        <f t="shared" si="74"/>
        <v>EC18</v>
      </c>
      <c r="I904" t="str">
        <f>_xlfn.XLOOKUP(H904,eci_admgz_adm1!D:D,eci_admgz_adm1!C:C)</f>
        <v>Tungurahua</v>
      </c>
      <c r="J904" t="s">
        <v>2021</v>
      </c>
      <c r="K904" s="1" t="s">
        <v>2023</v>
      </c>
    </row>
    <row r="905" spans="1:11" ht="16" x14ac:dyDescent="0.2">
      <c r="A905" t="s">
        <v>1711</v>
      </c>
      <c r="B905" t="s">
        <v>1712</v>
      </c>
      <c r="C905" t="str">
        <f t="shared" si="71"/>
        <v>Tisaleo</v>
      </c>
      <c r="D905" t="str">
        <f t="shared" si="70"/>
        <v>Tisaleo</v>
      </c>
      <c r="E905" t="str">
        <f t="shared" si="72"/>
        <v>EC180950</v>
      </c>
      <c r="F905" t="str">
        <f>_xlfn.XLOOKUP(G905,ecu_admgz_adm2!D:D,ecu_admgz_adm2!C:C)</f>
        <v>Tisaleo</v>
      </c>
      <c r="G905" t="str">
        <f t="shared" si="73"/>
        <v>EC1809</v>
      </c>
      <c r="H905" t="str">
        <f t="shared" si="74"/>
        <v>EC18</v>
      </c>
      <c r="I905" t="str">
        <f>_xlfn.XLOOKUP(H905,eci_admgz_adm1!D:D,eci_admgz_adm1!C:C)</f>
        <v>Tungurahua</v>
      </c>
      <c r="J905" t="s">
        <v>2021</v>
      </c>
      <c r="K905" s="1" t="s">
        <v>2023</v>
      </c>
    </row>
    <row r="906" spans="1:11" ht="16" x14ac:dyDescent="0.2">
      <c r="A906" t="s">
        <v>1713</v>
      </c>
      <c r="B906" t="s">
        <v>1714</v>
      </c>
      <c r="C906" t="str">
        <f t="shared" si="71"/>
        <v>Quinchicoto</v>
      </c>
      <c r="D906" t="str">
        <f t="shared" si="70"/>
        <v>Quinchicoto</v>
      </c>
      <c r="E906" t="str">
        <f t="shared" si="72"/>
        <v>EC180951</v>
      </c>
      <c r="F906" t="str">
        <f>_xlfn.XLOOKUP(G906,ecu_admgz_adm2!D:D,ecu_admgz_adm2!C:C)</f>
        <v>Tisaleo</v>
      </c>
      <c r="G906" t="str">
        <f t="shared" si="73"/>
        <v>EC1809</v>
      </c>
      <c r="H906" t="str">
        <f t="shared" si="74"/>
        <v>EC18</v>
      </c>
      <c r="I906" t="str">
        <f>_xlfn.XLOOKUP(H906,eci_admgz_adm1!D:D,eci_admgz_adm1!C:C)</f>
        <v>Tungurahua</v>
      </c>
      <c r="J906" t="s">
        <v>2021</v>
      </c>
      <c r="K906" s="1" t="s">
        <v>2023</v>
      </c>
    </row>
    <row r="907" spans="1:11" ht="16" x14ac:dyDescent="0.2">
      <c r="A907" t="s">
        <v>1715</v>
      </c>
      <c r="B907" t="s">
        <v>1716</v>
      </c>
      <c r="C907" t="str">
        <f t="shared" si="71"/>
        <v>Zamora</v>
      </c>
      <c r="D907" t="str">
        <f t="shared" si="70"/>
        <v>Zamora</v>
      </c>
      <c r="E907" t="str">
        <f t="shared" si="72"/>
        <v>EC190150</v>
      </c>
      <c r="F907" t="str">
        <f>_xlfn.XLOOKUP(G907,ecu_admgz_adm2!D:D,ecu_admgz_adm2!C:C)</f>
        <v>Zamora</v>
      </c>
      <c r="G907" t="str">
        <f t="shared" si="73"/>
        <v>EC1901</v>
      </c>
      <c r="H907" t="str">
        <f t="shared" si="74"/>
        <v>EC19</v>
      </c>
      <c r="I907" t="str">
        <f>_xlfn.XLOOKUP(H907,eci_admgz_adm1!D:D,eci_admgz_adm1!C:C)</f>
        <v>Zamora Chinchipe</v>
      </c>
      <c r="J907" t="s">
        <v>2021</v>
      </c>
      <c r="K907" s="1" t="s">
        <v>2023</v>
      </c>
    </row>
    <row r="908" spans="1:11" ht="16" x14ac:dyDescent="0.2">
      <c r="A908" t="s">
        <v>1717</v>
      </c>
      <c r="B908" t="s">
        <v>1718</v>
      </c>
      <c r="C908" t="str">
        <f t="shared" si="71"/>
        <v>Cumbaratza</v>
      </c>
      <c r="D908" t="str">
        <f t="shared" si="70"/>
        <v>Cumbaratza</v>
      </c>
      <c r="E908" t="str">
        <f t="shared" si="72"/>
        <v>EC190151</v>
      </c>
      <c r="F908" t="str">
        <f>_xlfn.XLOOKUP(G908,ecu_admgz_adm2!D:D,ecu_admgz_adm2!C:C)</f>
        <v>Zamora</v>
      </c>
      <c r="G908" t="str">
        <f t="shared" si="73"/>
        <v>EC1901</v>
      </c>
      <c r="H908" t="str">
        <f t="shared" si="74"/>
        <v>EC19</v>
      </c>
      <c r="I908" t="str">
        <f>_xlfn.XLOOKUP(H908,eci_admgz_adm1!D:D,eci_admgz_adm1!C:C)</f>
        <v>Zamora Chinchipe</v>
      </c>
      <c r="J908" t="s">
        <v>2021</v>
      </c>
      <c r="K908" s="1" t="s">
        <v>2023</v>
      </c>
    </row>
    <row r="909" spans="1:11" ht="16" x14ac:dyDescent="0.2">
      <c r="A909" t="s">
        <v>1719</v>
      </c>
      <c r="B909" t="s">
        <v>1720</v>
      </c>
      <c r="C909" t="str">
        <f t="shared" si="71"/>
        <v>Guadalupe</v>
      </c>
      <c r="D909" t="str">
        <f t="shared" si="70"/>
        <v>Guadalupe</v>
      </c>
      <c r="E909" t="str">
        <f t="shared" si="72"/>
        <v>EC190152</v>
      </c>
      <c r="F909" t="str">
        <f>_xlfn.XLOOKUP(G909,ecu_admgz_adm2!D:D,ecu_admgz_adm2!C:C)</f>
        <v>Zamora</v>
      </c>
      <c r="G909" t="str">
        <f t="shared" si="73"/>
        <v>EC1901</v>
      </c>
      <c r="H909" t="str">
        <f t="shared" si="74"/>
        <v>EC19</v>
      </c>
      <c r="I909" t="str">
        <f>_xlfn.XLOOKUP(H909,eci_admgz_adm1!D:D,eci_admgz_adm1!C:C)</f>
        <v>Zamora Chinchipe</v>
      </c>
      <c r="J909" t="s">
        <v>2021</v>
      </c>
      <c r="K909" s="1" t="s">
        <v>2023</v>
      </c>
    </row>
    <row r="910" spans="1:11" ht="16" x14ac:dyDescent="0.2">
      <c r="A910" t="s">
        <v>1721</v>
      </c>
      <c r="B910" t="s">
        <v>1722</v>
      </c>
      <c r="C910" t="str">
        <f t="shared" si="71"/>
        <v>Imbana</v>
      </c>
      <c r="D910" t="str">
        <f t="shared" si="70"/>
        <v>Imbana</v>
      </c>
      <c r="E910" t="str">
        <f t="shared" si="72"/>
        <v>EC190153</v>
      </c>
      <c r="F910" t="str">
        <f>_xlfn.XLOOKUP(G910,ecu_admgz_adm2!D:D,ecu_admgz_adm2!C:C)</f>
        <v>Zamora</v>
      </c>
      <c r="G910" t="str">
        <f t="shared" si="73"/>
        <v>EC1901</v>
      </c>
      <c r="H910" t="str">
        <f t="shared" si="74"/>
        <v>EC19</v>
      </c>
      <c r="I910" t="str">
        <f>_xlfn.XLOOKUP(H910,eci_admgz_adm1!D:D,eci_admgz_adm1!C:C)</f>
        <v>Zamora Chinchipe</v>
      </c>
      <c r="J910" t="s">
        <v>2021</v>
      </c>
      <c r="K910" s="1" t="s">
        <v>2023</v>
      </c>
    </row>
    <row r="911" spans="1:11" ht="16" x14ac:dyDescent="0.2">
      <c r="A911" t="s">
        <v>1723</v>
      </c>
      <c r="B911" t="s">
        <v>830</v>
      </c>
      <c r="C911" t="str">
        <f t="shared" si="71"/>
        <v>Sabanilla</v>
      </c>
      <c r="D911" t="str">
        <f t="shared" si="70"/>
        <v>Sabanilla</v>
      </c>
      <c r="E911" t="str">
        <f t="shared" si="72"/>
        <v>EC190155</v>
      </c>
      <c r="F911" t="str">
        <f>_xlfn.XLOOKUP(G911,ecu_admgz_adm2!D:D,ecu_admgz_adm2!C:C)</f>
        <v>Zamora</v>
      </c>
      <c r="G911" t="str">
        <f t="shared" si="73"/>
        <v>EC1901</v>
      </c>
      <c r="H911" t="str">
        <f t="shared" si="74"/>
        <v>EC19</v>
      </c>
      <c r="I911" t="str">
        <f>_xlfn.XLOOKUP(H911,eci_admgz_adm1!D:D,eci_admgz_adm1!C:C)</f>
        <v>Zamora Chinchipe</v>
      </c>
      <c r="J911" t="s">
        <v>2021</v>
      </c>
      <c r="K911" s="1" t="s">
        <v>2023</v>
      </c>
    </row>
    <row r="912" spans="1:11" ht="16" x14ac:dyDescent="0.2">
      <c r="A912" t="s">
        <v>1724</v>
      </c>
      <c r="B912" t="s">
        <v>1725</v>
      </c>
      <c r="C912" t="str">
        <f t="shared" si="71"/>
        <v>Timbara</v>
      </c>
      <c r="D912" t="str">
        <f t="shared" si="70"/>
        <v>Timbara</v>
      </c>
      <c r="E912" t="str">
        <f t="shared" si="72"/>
        <v>EC190156</v>
      </c>
      <c r="F912" t="str">
        <f>_xlfn.XLOOKUP(G912,ecu_admgz_adm2!D:D,ecu_admgz_adm2!C:C)</f>
        <v>Zamora</v>
      </c>
      <c r="G912" t="str">
        <f t="shared" si="73"/>
        <v>EC1901</v>
      </c>
      <c r="H912" t="str">
        <f t="shared" si="74"/>
        <v>EC19</v>
      </c>
      <c r="I912" t="str">
        <f>_xlfn.XLOOKUP(H912,eci_admgz_adm1!D:D,eci_admgz_adm1!C:C)</f>
        <v>Zamora Chinchipe</v>
      </c>
      <c r="J912" t="s">
        <v>2021</v>
      </c>
      <c r="K912" s="1" t="s">
        <v>2023</v>
      </c>
    </row>
    <row r="913" spans="1:11" ht="16" x14ac:dyDescent="0.2">
      <c r="A913" t="s">
        <v>1726</v>
      </c>
      <c r="B913" t="s">
        <v>1727</v>
      </c>
      <c r="C913" t="str">
        <f t="shared" si="71"/>
        <v>San Carlos De Las Minas</v>
      </c>
      <c r="D913" t="str">
        <f t="shared" si="70"/>
        <v>San Carlos de Las Minas</v>
      </c>
      <c r="E913" t="str">
        <f t="shared" si="72"/>
        <v>EC190158</v>
      </c>
      <c r="F913" t="str">
        <f>_xlfn.XLOOKUP(G913,ecu_admgz_adm2!D:D,ecu_admgz_adm2!C:C)</f>
        <v>Zamora</v>
      </c>
      <c r="G913" t="str">
        <f t="shared" si="73"/>
        <v>EC1901</v>
      </c>
      <c r="H913" t="str">
        <f t="shared" si="74"/>
        <v>EC19</v>
      </c>
      <c r="I913" t="str">
        <f>_xlfn.XLOOKUP(H913,eci_admgz_adm1!D:D,eci_admgz_adm1!C:C)</f>
        <v>Zamora Chinchipe</v>
      </c>
      <c r="J913" t="s">
        <v>2021</v>
      </c>
      <c r="K913" s="1" t="s">
        <v>2023</v>
      </c>
    </row>
    <row r="914" spans="1:11" ht="16" x14ac:dyDescent="0.2">
      <c r="A914" t="s">
        <v>1728</v>
      </c>
      <c r="B914" t="s">
        <v>1729</v>
      </c>
      <c r="C914" t="str">
        <f t="shared" si="71"/>
        <v>Zumba</v>
      </c>
      <c r="D914" t="str">
        <f t="shared" si="70"/>
        <v>Zumba</v>
      </c>
      <c r="E914" t="str">
        <f t="shared" si="72"/>
        <v>EC190250</v>
      </c>
      <c r="F914" t="str">
        <f>_xlfn.XLOOKUP(G914,ecu_admgz_adm2!D:D,ecu_admgz_adm2!C:C)</f>
        <v>Chinchipe</v>
      </c>
      <c r="G914" t="str">
        <f t="shared" si="73"/>
        <v>EC1902</v>
      </c>
      <c r="H914" t="str">
        <f t="shared" si="74"/>
        <v>EC19</v>
      </c>
      <c r="I914" t="str">
        <f>_xlfn.XLOOKUP(H914,eci_admgz_adm1!D:D,eci_admgz_adm1!C:C)</f>
        <v>Zamora Chinchipe</v>
      </c>
      <c r="J914" t="s">
        <v>2021</v>
      </c>
      <c r="K914" s="1" t="s">
        <v>2023</v>
      </c>
    </row>
    <row r="915" spans="1:11" ht="16" x14ac:dyDescent="0.2">
      <c r="A915" t="s">
        <v>1730</v>
      </c>
      <c r="B915" t="s">
        <v>1731</v>
      </c>
      <c r="C915" t="str">
        <f t="shared" si="71"/>
        <v>Chito</v>
      </c>
      <c r="D915" t="str">
        <f t="shared" si="70"/>
        <v>Chito</v>
      </c>
      <c r="E915" t="str">
        <f t="shared" si="72"/>
        <v>EC190251</v>
      </c>
      <c r="F915" t="str">
        <f>_xlfn.XLOOKUP(G915,ecu_admgz_adm2!D:D,ecu_admgz_adm2!C:C)</f>
        <v>Chinchipe</v>
      </c>
      <c r="G915" t="str">
        <f t="shared" si="73"/>
        <v>EC1902</v>
      </c>
      <c r="H915" t="str">
        <f t="shared" si="74"/>
        <v>EC19</v>
      </c>
      <c r="I915" t="str">
        <f>_xlfn.XLOOKUP(H915,eci_admgz_adm1!D:D,eci_admgz_adm1!C:C)</f>
        <v>Zamora Chinchipe</v>
      </c>
      <c r="J915" t="s">
        <v>2021</v>
      </c>
      <c r="K915" s="1" t="s">
        <v>2023</v>
      </c>
    </row>
    <row r="916" spans="1:11" ht="16" x14ac:dyDescent="0.2">
      <c r="A916" t="s">
        <v>1732</v>
      </c>
      <c r="B916" t="s">
        <v>1733</v>
      </c>
      <c r="C916" t="str">
        <f t="shared" si="71"/>
        <v>El Chorro</v>
      </c>
      <c r="D916" t="str">
        <f t="shared" si="70"/>
        <v>El Chorro</v>
      </c>
      <c r="E916" t="str">
        <f t="shared" si="72"/>
        <v>EC190252</v>
      </c>
      <c r="F916" t="str">
        <f>_xlfn.XLOOKUP(G916,ecu_admgz_adm2!D:D,ecu_admgz_adm2!C:C)</f>
        <v>Chinchipe</v>
      </c>
      <c r="G916" t="str">
        <f t="shared" si="73"/>
        <v>EC1902</v>
      </c>
      <c r="H916" t="str">
        <f t="shared" si="74"/>
        <v>EC19</v>
      </c>
      <c r="I916" t="str">
        <f>_xlfn.XLOOKUP(H916,eci_admgz_adm1!D:D,eci_admgz_adm1!C:C)</f>
        <v>Zamora Chinchipe</v>
      </c>
      <c r="J916" t="s">
        <v>2021</v>
      </c>
      <c r="K916" s="1" t="s">
        <v>2023</v>
      </c>
    </row>
    <row r="917" spans="1:11" ht="16" x14ac:dyDescent="0.2">
      <c r="A917" t="s">
        <v>1734</v>
      </c>
      <c r="B917" t="s">
        <v>1735</v>
      </c>
      <c r="C917" t="str">
        <f t="shared" si="71"/>
        <v>La Chonta</v>
      </c>
      <c r="D917" t="str">
        <f t="shared" si="70"/>
        <v>La Chonta</v>
      </c>
      <c r="E917" t="str">
        <f t="shared" si="72"/>
        <v>EC190254</v>
      </c>
      <c r="F917" t="str">
        <f>_xlfn.XLOOKUP(G917,ecu_admgz_adm2!D:D,ecu_admgz_adm2!C:C)</f>
        <v>Chinchipe</v>
      </c>
      <c r="G917" t="str">
        <f t="shared" si="73"/>
        <v>EC1902</v>
      </c>
      <c r="H917" t="str">
        <f t="shared" si="74"/>
        <v>EC19</v>
      </c>
      <c r="I917" t="str">
        <f>_xlfn.XLOOKUP(H917,eci_admgz_adm1!D:D,eci_admgz_adm1!C:C)</f>
        <v>Zamora Chinchipe</v>
      </c>
      <c r="J917" t="s">
        <v>2021</v>
      </c>
      <c r="K917" s="1" t="s">
        <v>2023</v>
      </c>
    </row>
    <row r="918" spans="1:11" ht="16" x14ac:dyDescent="0.2">
      <c r="A918" t="s">
        <v>1736</v>
      </c>
      <c r="B918" t="s">
        <v>1737</v>
      </c>
      <c r="C918" t="str">
        <f t="shared" si="71"/>
        <v>Pucapamba</v>
      </c>
      <c r="D918" t="str">
        <f t="shared" si="70"/>
        <v>Pucapamba</v>
      </c>
      <c r="E918" t="str">
        <f t="shared" si="72"/>
        <v>EC190256</v>
      </c>
      <c r="F918" t="str">
        <f>_xlfn.XLOOKUP(G918,ecu_admgz_adm2!D:D,ecu_admgz_adm2!C:C)</f>
        <v>Chinchipe</v>
      </c>
      <c r="G918" t="str">
        <f t="shared" si="73"/>
        <v>EC1902</v>
      </c>
      <c r="H918" t="str">
        <f t="shared" si="74"/>
        <v>EC19</v>
      </c>
      <c r="I918" t="str">
        <f>_xlfn.XLOOKUP(H918,eci_admgz_adm1!D:D,eci_admgz_adm1!C:C)</f>
        <v>Zamora Chinchipe</v>
      </c>
      <c r="J918" t="s">
        <v>2021</v>
      </c>
      <c r="K918" s="1" t="s">
        <v>2023</v>
      </c>
    </row>
    <row r="919" spans="1:11" ht="16" x14ac:dyDescent="0.2">
      <c r="A919" t="s">
        <v>1738</v>
      </c>
      <c r="B919" t="s">
        <v>493</v>
      </c>
      <c r="C919" t="str">
        <f t="shared" si="71"/>
        <v>San Andrés</v>
      </c>
      <c r="D919" t="str">
        <f t="shared" si="70"/>
        <v>San Andrés</v>
      </c>
      <c r="E919" t="str">
        <f t="shared" si="72"/>
        <v>EC190259</v>
      </c>
      <c r="F919" t="str">
        <f>_xlfn.XLOOKUP(G919,ecu_admgz_adm2!D:D,ecu_admgz_adm2!C:C)</f>
        <v>Chinchipe</v>
      </c>
      <c r="G919" t="str">
        <f t="shared" si="73"/>
        <v>EC1902</v>
      </c>
      <c r="H919" t="str">
        <f t="shared" si="74"/>
        <v>EC19</v>
      </c>
      <c r="I919" t="str">
        <f>_xlfn.XLOOKUP(H919,eci_admgz_adm1!D:D,eci_admgz_adm1!C:C)</f>
        <v>Zamora Chinchipe</v>
      </c>
      <c r="J919" t="s">
        <v>2021</v>
      </c>
      <c r="K919" s="1" t="s">
        <v>2023</v>
      </c>
    </row>
    <row r="920" spans="1:11" ht="16" x14ac:dyDescent="0.2">
      <c r="A920" t="s">
        <v>1739</v>
      </c>
      <c r="B920" t="s">
        <v>1740</v>
      </c>
      <c r="C920" t="str">
        <f t="shared" si="71"/>
        <v>Guayzimi</v>
      </c>
      <c r="D920" t="str">
        <f t="shared" si="70"/>
        <v>Guayzimi</v>
      </c>
      <c r="E920" t="str">
        <f t="shared" si="72"/>
        <v>EC190350</v>
      </c>
      <c r="F920" t="str">
        <f>_xlfn.XLOOKUP(G920,ecu_admgz_adm2!D:D,ecu_admgz_adm2!C:C)</f>
        <v>Nangaritza</v>
      </c>
      <c r="G920" t="str">
        <f t="shared" si="73"/>
        <v>EC1903</v>
      </c>
      <c r="H920" t="str">
        <f t="shared" si="74"/>
        <v>EC19</v>
      </c>
      <c r="I920" t="str">
        <f>_xlfn.XLOOKUP(H920,eci_admgz_adm1!D:D,eci_admgz_adm1!C:C)</f>
        <v>Zamora Chinchipe</v>
      </c>
      <c r="J920" t="s">
        <v>2021</v>
      </c>
      <c r="K920" s="1" t="s">
        <v>2023</v>
      </c>
    </row>
    <row r="921" spans="1:11" ht="16" x14ac:dyDescent="0.2">
      <c r="A921" t="s">
        <v>1741</v>
      </c>
      <c r="B921" t="s">
        <v>1742</v>
      </c>
      <c r="C921" t="str">
        <f t="shared" si="71"/>
        <v>Zurmi</v>
      </c>
      <c r="D921" t="str">
        <f t="shared" si="70"/>
        <v>Zurmi</v>
      </c>
      <c r="E921" t="str">
        <f t="shared" si="72"/>
        <v>EC190351</v>
      </c>
      <c r="F921" t="str">
        <f>_xlfn.XLOOKUP(G921,ecu_admgz_adm2!D:D,ecu_admgz_adm2!C:C)</f>
        <v>Nangaritza</v>
      </c>
      <c r="G921" t="str">
        <f t="shared" si="73"/>
        <v>EC1903</v>
      </c>
      <c r="H921" t="str">
        <f t="shared" si="74"/>
        <v>EC19</v>
      </c>
      <c r="I921" t="str">
        <f>_xlfn.XLOOKUP(H921,eci_admgz_adm1!D:D,eci_admgz_adm1!C:C)</f>
        <v>Zamora Chinchipe</v>
      </c>
      <c r="J921" t="s">
        <v>2021</v>
      </c>
      <c r="K921" s="1" t="s">
        <v>2023</v>
      </c>
    </row>
    <row r="922" spans="1:11" ht="16" x14ac:dyDescent="0.2">
      <c r="A922" t="s">
        <v>1743</v>
      </c>
      <c r="B922" t="s">
        <v>1744</v>
      </c>
      <c r="C922" t="str">
        <f t="shared" si="71"/>
        <v>Nuevo Paraíso</v>
      </c>
      <c r="D922" t="str">
        <f t="shared" si="70"/>
        <v>Nuevo Paraíso</v>
      </c>
      <c r="E922" t="str">
        <f t="shared" si="72"/>
        <v>EC190352</v>
      </c>
      <c r="F922" t="str">
        <f>_xlfn.XLOOKUP(G922,ecu_admgz_adm2!D:D,ecu_admgz_adm2!C:C)</f>
        <v>Nangaritza</v>
      </c>
      <c r="G922" t="str">
        <f t="shared" si="73"/>
        <v>EC1903</v>
      </c>
      <c r="H922" t="str">
        <f t="shared" si="74"/>
        <v>EC19</v>
      </c>
      <c r="I922" t="str">
        <f>_xlfn.XLOOKUP(H922,eci_admgz_adm1!D:D,eci_admgz_adm1!C:C)</f>
        <v>Zamora Chinchipe</v>
      </c>
      <c r="J922" t="s">
        <v>2021</v>
      </c>
      <c r="K922" s="1" t="s">
        <v>2023</v>
      </c>
    </row>
    <row r="923" spans="1:11" ht="16" x14ac:dyDescent="0.2">
      <c r="A923" t="s">
        <v>1745</v>
      </c>
      <c r="B923" t="s">
        <v>1746</v>
      </c>
      <c r="C923" t="str">
        <f t="shared" si="71"/>
        <v>Nankais</v>
      </c>
      <c r="D923" t="str">
        <f t="shared" si="70"/>
        <v>Nankais</v>
      </c>
      <c r="E923" t="str">
        <f t="shared" si="72"/>
        <v>EC190353</v>
      </c>
      <c r="F923" t="str">
        <f>_xlfn.XLOOKUP(G923,ecu_admgz_adm2!D:D,ecu_admgz_adm2!C:C)</f>
        <v>Nangaritza</v>
      </c>
      <c r="G923" t="str">
        <f t="shared" si="73"/>
        <v>EC1903</v>
      </c>
      <c r="H923" t="str">
        <f t="shared" si="74"/>
        <v>EC19</v>
      </c>
      <c r="I923" t="str">
        <f>_xlfn.XLOOKUP(H923,eci_admgz_adm1!D:D,eci_admgz_adm1!C:C)</f>
        <v>Zamora Chinchipe</v>
      </c>
      <c r="J923" t="s">
        <v>2021</v>
      </c>
      <c r="K923" s="1" t="s">
        <v>2023</v>
      </c>
    </row>
    <row r="924" spans="1:11" ht="16" x14ac:dyDescent="0.2">
      <c r="A924" t="s">
        <v>1747</v>
      </c>
      <c r="B924" t="s">
        <v>1748</v>
      </c>
      <c r="C924" t="str">
        <f t="shared" si="71"/>
        <v>28 De Mayo</v>
      </c>
      <c r="D924" t="str">
        <f t="shared" si="70"/>
        <v>28 de Mayo</v>
      </c>
      <c r="E924" t="str">
        <f t="shared" si="72"/>
        <v>EC190450</v>
      </c>
      <c r="F924" t="str">
        <f>_xlfn.XLOOKUP(G924,ecu_admgz_adm2!D:D,ecu_admgz_adm2!C:C)</f>
        <v>Yacuambi</v>
      </c>
      <c r="G924" t="str">
        <f t="shared" si="73"/>
        <v>EC1904</v>
      </c>
      <c r="H924" t="str">
        <f t="shared" si="74"/>
        <v>EC19</v>
      </c>
      <c r="I924" t="str">
        <f>_xlfn.XLOOKUP(H924,eci_admgz_adm1!D:D,eci_admgz_adm1!C:C)</f>
        <v>Zamora Chinchipe</v>
      </c>
      <c r="J924" t="s">
        <v>2021</v>
      </c>
      <c r="K924" s="1" t="s">
        <v>2023</v>
      </c>
    </row>
    <row r="925" spans="1:11" ht="16" x14ac:dyDescent="0.2">
      <c r="A925" t="s">
        <v>1749</v>
      </c>
      <c r="B925" t="s">
        <v>327</v>
      </c>
      <c r="C925" t="str">
        <f t="shared" si="71"/>
        <v>La Paz</v>
      </c>
      <c r="D925" t="str">
        <f t="shared" si="70"/>
        <v>La Paz</v>
      </c>
      <c r="E925" t="str">
        <f t="shared" si="72"/>
        <v>EC190451</v>
      </c>
      <c r="F925" t="str">
        <f>_xlfn.XLOOKUP(G925,ecu_admgz_adm2!D:D,ecu_admgz_adm2!C:C)</f>
        <v>Yacuambi</v>
      </c>
      <c r="G925" t="str">
        <f t="shared" si="73"/>
        <v>EC1904</v>
      </c>
      <c r="H925" t="str">
        <f t="shared" si="74"/>
        <v>EC19</v>
      </c>
      <c r="I925" t="str">
        <f>_xlfn.XLOOKUP(H925,eci_admgz_adm1!D:D,eci_admgz_adm1!C:C)</f>
        <v>Zamora Chinchipe</v>
      </c>
      <c r="J925" t="s">
        <v>2021</v>
      </c>
      <c r="K925" s="1" t="s">
        <v>2023</v>
      </c>
    </row>
    <row r="926" spans="1:11" ht="16" x14ac:dyDescent="0.2">
      <c r="A926" t="s">
        <v>1750</v>
      </c>
      <c r="B926" t="s">
        <v>1751</v>
      </c>
      <c r="C926" t="str">
        <f t="shared" si="71"/>
        <v>Tutupali</v>
      </c>
      <c r="D926" t="str">
        <f t="shared" si="70"/>
        <v>Tutupali</v>
      </c>
      <c r="E926" t="str">
        <f t="shared" si="72"/>
        <v>EC190452</v>
      </c>
      <c r="F926" t="str">
        <f>_xlfn.XLOOKUP(G926,ecu_admgz_adm2!D:D,ecu_admgz_adm2!C:C)</f>
        <v>Yacuambi</v>
      </c>
      <c r="G926" t="str">
        <f t="shared" si="73"/>
        <v>EC1904</v>
      </c>
      <c r="H926" t="str">
        <f t="shared" si="74"/>
        <v>EC19</v>
      </c>
      <c r="I926" t="str">
        <f>_xlfn.XLOOKUP(H926,eci_admgz_adm1!D:D,eci_admgz_adm1!C:C)</f>
        <v>Zamora Chinchipe</v>
      </c>
      <c r="J926" t="s">
        <v>2021</v>
      </c>
      <c r="K926" s="1" t="s">
        <v>2023</v>
      </c>
    </row>
    <row r="927" spans="1:11" ht="16" x14ac:dyDescent="0.2">
      <c r="A927" t="s">
        <v>1752</v>
      </c>
      <c r="B927" t="s">
        <v>1753</v>
      </c>
      <c r="C927" t="str">
        <f t="shared" si="71"/>
        <v>Yantzaza</v>
      </c>
      <c r="D927" t="str">
        <f t="shared" si="70"/>
        <v>Yantzaza</v>
      </c>
      <c r="E927" t="str">
        <f t="shared" si="72"/>
        <v>EC190550</v>
      </c>
      <c r="F927" t="str">
        <f>_xlfn.XLOOKUP(G927,ecu_admgz_adm2!D:D,ecu_admgz_adm2!C:C)</f>
        <v>Yantzaza</v>
      </c>
      <c r="G927" t="str">
        <f t="shared" si="73"/>
        <v>EC1905</v>
      </c>
      <c r="H927" t="str">
        <f t="shared" si="74"/>
        <v>EC19</v>
      </c>
      <c r="I927" t="str">
        <f>_xlfn.XLOOKUP(H927,eci_admgz_adm1!D:D,eci_admgz_adm1!C:C)</f>
        <v>Zamora Chinchipe</v>
      </c>
      <c r="J927" t="s">
        <v>2021</v>
      </c>
      <c r="K927" s="1" t="s">
        <v>2023</v>
      </c>
    </row>
    <row r="928" spans="1:11" ht="16" x14ac:dyDescent="0.2">
      <c r="A928" t="s">
        <v>1754</v>
      </c>
      <c r="B928" t="s">
        <v>1755</v>
      </c>
      <c r="C928" t="str">
        <f t="shared" si="71"/>
        <v>Chicaña</v>
      </c>
      <c r="D928" t="str">
        <f t="shared" si="70"/>
        <v>Chicaña</v>
      </c>
      <c r="E928" t="str">
        <f t="shared" si="72"/>
        <v>EC190551</v>
      </c>
      <c r="F928" t="str">
        <f>_xlfn.XLOOKUP(G928,ecu_admgz_adm2!D:D,ecu_admgz_adm2!C:C)</f>
        <v>Yantzaza</v>
      </c>
      <c r="G928" t="str">
        <f t="shared" si="73"/>
        <v>EC1905</v>
      </c>
      <c r="H928" t="str">
        <f t="shared" si="74"/>
        <v>EC19</v>
      </c>
      <c r="I928" t="str">
        <f>_xlfn.XLOOKUP(H928,eci_admgz_adm1!D:D,eci_admgz_adm1!C:C)</f>
        <v>Zamora Chinchipe</v>
      </c>
      <c r="J928" t="s">
        <v>2021</v>
      </c>
      <c r="K928" s="1" t="s">
        <v>2023</v>
      </c>
    </row>
    <row r="929" spans="1:11" ht="16" x14ac:dyDescent="0.2">
      <c r="A929" t="s">
        <v>1756</v>
      </c>
      <c r="B929" t="s">
        <v>1757</v>
      </c>
      <c r="C929" t="str">
        <f t="shared" si="71"/>
        <v>Los Encuentros</v>
      </c>
      <c r="D929" t="str">
        <f t="shared" si="70"/>
        <v>Los encuentros</v>
      </c>
      <c r="E929" t="str">
        <f t="shared" si="72"/>
        <v>EC190553</v>
      </c>
      <c r="F929" t="str">
        <f>_xlfn.XLOOKUP(G929,ecu_admgz_adm2!D:D,ecu_admgz_adm2!C:C)</f>
        <v>Yantzaza</v>
      </c>
      <c r="G929" t="str">
        <f t="shared" si="73"/>
        <v>EC1905</v>
      </c>
      <c r="H929" t="str">
        <f t="shared" si="74"/>
        <v>EC19</v>
      </c>
      <c r="I929" t="str">
        <f>_xlfn.XLOOKUP(H929,eci_admgz_adm1!D:D,eci_admgz_adm1!C:C)</f>
        <v>Zamora Chinchipe</v>
      </c>
      <c r="J929" t="s">
        <v>2021</v>
      </c>
      <c r="K929" s="1" t="s">
        <v>2023</v>
      </c>
    </row>
    <row r="930" spans="1:11" ht="16" x14ac:dyDescent="0.2">
      <c r="A930" t="s">
        <v>1758</v>
      </c>
      <c r="B930" t="s">
        <v>1759</v>
      </c>
      <c r="C930" t="str">
        <f t="shared" si="71"/>
        <v>El Pangui</v>
      </c>
      <c r="D930" t="str">
        <f t="shared" si="70"/>
        <v>El Pangui</v>
      </c>
      <c r="E930" t="str">
        <f t="shared" si="72"/>
        <v>EC190650</v>
      </c>
      <c r="F930" t="str">
        <f>_xlfn.XLOOKUP(G930,ecu_admgz_adm2!D:D,ecu_admgz_adm2!C:C)</f>
        <v>El Pangui</v>
      </c>
      <c r="G930" t="str">
        <f t="shared" si="73"/>
        <v>EC1906</v>
      </c>
      <c r="H930" t="str">
        <f t="shared" si="74"/>
        <v>EC19</v>
      </c>
      <c r="I930" t="str">
        <f>_xlfn.XLOOKUP(H930,eci_admgz_adm1!D:D,eci_admgz_adm1!C:C)</f>
        <v>Zamora Chinchipe</v>
      </c>
      <c r="J930" t="s">
        <v>2021</v>
      </c>
      <c r="K930" s="1" t="s">
        <v>2023</v>
      </c>
    </row>
    <row r="931" spans="1:11" ht="16" x14ac:dyDescent="0.2">
      <c r="A931" t="s">
        <v>1760</v>
      </c>
      <c r="B931" t="s">
        <v>1761</v>
      </c>
      <c r="C931" t="str">
        <f t="shared" si="71"/>
        <v>El Guisme</v>
      </c>
      <c r="D931" t="str">
        <f t="shared" si="70"/>
        <v>El Guisme</v>
      </c>
      <c r="E931" t="str">
        <f t="shared" si="72"/>
        <v>EC190651</v>
      </c>
      <c r="F931" t="str">
        <f>_xlfn.XLOOKUP(G931,ecu_admgz_adm2!D:D,ecu_admgz_adm2!C:C)</f>
        <v>El Pangui</v>
      </c>
      <c r="G931" t="str">
        <f t="shared" si="73"/>
        <v>EC1906</v>
      </c>
      <c r="H931" t="str">
        <f t="shared" si="74"/>
        <v>EC19</v>
      </c>
      <c r="I931" t="str">
        <f>_xlfn.XLOOKUP(H931,eci_admgz_adm1!D:D,eci_admgz_adm1!C:C)</f>
        <v>Zamora Chinchipe</v>
      </c>
      <c r="J931" t="s">
        <v>2021</v>
      </c>
      <c r="K931" s="1" t="s">
        <v>2023</v>
      </c>
    </row>
    <row r="932" spans="1:11" ht="16" x14ac:dyDescent="0.2">
      <c r="A932" t="s">
        <v>1762</v>
      </c>
      <c r="B932" t="s">
        <v>1763</v>
      </c>
      <c r="C932" t="str">
        <f t="shared" si="71"/>
        <v>Pachicutza</v>
      </c>
      <c r="D932" t="str">
        <f t="shared" si="70"/>
        <v>Pachicutza</v>
      </c>
      <c r="E932" t="str">
        <f t="shared" si="72"/>
        <v>EC190652</v>
      </c>
      <c r="F932" t="str">
        <f>_xlfn.XLOOKUP(G932,ecu_admgz_adm2!D:D,ecu_admgz_adm2!C:C)</f>
        <v>El Pangui</v>
      </c>
      <c r="G932" t="str">
        <f t="shared" si="73"/>
        <v>EC1906</v>
      </c>
      <c r="H932" t="str">
        <f t="shared" si="74"/>
        <v>EC19</v>
      </c>
      <c r="I932" t="str">
        <f>_xlfn.XLOOKUP(H932,eci_admgz_adm1!D:D,eci_admgz_adm1!C:C)</f>
        <v>Zamora Chinchipe</v>
      </c>
      <c r="J932" t="s">
        <v>2021</v>
      </c>
      <c r="K932" s="1" t="s">
        <v>2023</v>
      </c>
    </row>
    <row r="933" spans="1:11" ht="16" x14ac:dyDescent="0.2">
      <c r="A933" t="s">
        <v>1764</v>
      </c>
      <c r="B933" t="s">
        <v>1765</v>
      </c>
      <c r="C933" t="str">
        <f t="shared" si="71"/>
        <v>Tundayme</v>
      </c>
      <c r="D933" t="str">
        <f t="shared" si="70"/>
        <v>Tundayme</v>
      </c>
      <c r="E933" t="str">
        <f t="shared" si="72"/>
        <v>EC190653</v>
      </c>
      <c r="F933" t="str">
        <f>_xlfn.XLOOKUP(G933,ecu_admgz_adm2!D:D,ecu_admgz_adm2!C:C)</f>
        <v>El Pangui</v>
      </c>
      <c r="G933" t="str">
        <f t="shared" si="73"/>
        <v>EC1906</v>
      </c>
      <c r="H933" t="str">
        <f t="shared" si="74"/>
        <v>EC19</v>
      </c>
      <c r="I933" t="str">
        <f>_xlfn.XLOOKUP(H933,eci_admgz_adm1!D:D,eci_admgz_adm1!C:C)</f>
        <v>Zamora Chinchipe</v>
      </c>
      <c r="J933" t="s">
        <v>2021</v>
      </c>
      <c r="K933" s="1" t="s">
        <v>2023</v>
      </c>
    </row>
    <row r="934" spans="1:11" ht="16" x14ac:dyDescent="0.2">
      <c r="A934" t="s">
        <v>1766</v>
      </c>
      <c r="B934" t="s">
        <v>1767</v>
      </c>
      <c r="C934" t="str">
        <f t="shared" si="71"/>
        <v>Zumbi</v>
      </c>
      <c r="D934" t="str">
        <f t="shared" si="70"/>
        <v>Zumbi</v>
      </c>
      <c r="E934" t="str">
        <f t="shared" si="72"/>
        <v>EC190750</v>
      </c>
      <c r="F934" t="str">
        <f>_xlfn.XLOOKUP(G934,ecu_admgz_adm2!D:D,ecu_admgz_adm2!C:C)</f>
        <v>Centinela del Cóndor</v>
      </c>
      <c r="G934" t="str">
        <f t="shared" si="73"/>
        <v>EC1907</v>
      </c>
      <c r="H934" t="str">
        <f t="shared" si="74"/>
        <v>EC19</v>
      </c>
      <c r="I934" t="str">
        <f>_xlfn.XLOOKUP(H934,eci_admgz_adm1!D:D,eci_admgz_adm1!C:C)</f>
        <v>Zamora Chinchipe</v>
      </c>
      <c r="J934" t="s">
        <v>2021</v>
      </c>
      <c r="K934" s="1" t="s">
        <v>2023</v>
      </c>
    </row>
    <row r="935" spans="1:11" ht="16" x14ac:dyDescent="0.2">
      <c r="A935" t="s">
        <v>1768</v>
      </c>
      <c r="B935" t="s">
        <v>1769</v>
      </c>
      <c r="C935" t="str">
        <f t="shared" si="71"/>
        <v>Triunfo Dorado</v>
      </c>
      <c r="D935" t="str">
        <f t="shared" si="70"/>
        <v>Triunfo Dorado</v>
      </c>
      <c r="E935" t="str">
        <f t="shared" si="72"/>
        <v>EC190752</v>
      </c>
      <c r="F935" t="str">
        <f>_xlfn.XLOOKUP(G935,ecu_admgz_adm2!D:D,ecu_admgz_adm2!C:C)</f>
        <v>Centinela del Cóndor</v>
      </c>
      <c r="G935" t="str">
        <f t="shared" si="73"/>
        <v>EC1907</v>
      </c>
      <c r="H935" t="str">
        <f t="shared" si="74"/>
        <v>EC19</v>
      </c>
      <c r="I935" t="str">
        <f>_xlfn.XLOOKUP(H935,eci_admgz_adm1!D:D,eci_admgz_adm1!C:C)</f>
        <v>Zamora Chinchipe</v>
      </c>
      <c r="J935" t="s">
        <v>2021</v>
      </c>
      <c r="K935" s="1" t="s">
        <v>2023</v>
      </c>
    </row>
    <row r="936" spans="1:11" ht="16" x14ac:dyDescent="0.2">
      <c r="A936" t="s">
        <v>1770</v>
      </c>
      <c r="B936" t="s">
        <v>1771</v>
      </c>
      <c r="C936" t="str">
        <f t="shared" si="71"/>
        <v>Panguintza</v>
      </c>
      <c r="D936" t="str">
        <f t="shared" si="70"/>
        <v>Panguintza</v>
      </c>
      <c r="E936" t="str">
        <f t="shared" si="72"/>
        <v>EC190753</v>
      </c>
      <c r="F936" t="str">
        <f>_xlfn.XLOOKUP(G936,ecu_admgz_adm2!D:D,ecu_admgz_adm2!C:C)</f>
        <v>Centinela del Cóndor</v>
      </c>
      <c r="G936" t="str">
        <f t="shared" si="73"/>
        <v>EC1907</v>
      </c>
      <c r="H936" t="str">
        <f t="shared" si="74"/>
        <v>EC19</v>
      </c>
      <c r="I936" t="str">
        <f>_xlfn.XLOOKUP(H936,eci_admgz_adm1!D:D,eci_admgz_adm1!C:C)</f>
        <v>Zamora Chinchipe</v>
      </c>
      <c r="J936" t="s">
        <v>2021</v>
      </c>
      <c r="K936" s="1" t="s">
        <v>2023</v>
      </c>
    </row>
    <row r="937" spans="1:11" ht="16" x14ac:dyDescent="0.2">
      <c r="A937" t="s">
        <v>1772</v>
      </c>
      <c r="B937" t="s">
        <v>1773</v>
      </c>
      <c r="C937" t="str">
        <f t="shared" si="71"/>
        <v>Palanda</v>
      </c>
      <c r="D937" t="str">
        <f t="shared" si="70"/>
        <v>Palanda</v>
      </c>
      <c r="E937" t="str">
        <f t="shared" si="72"/>
        <v>EC190850</v>
      </c>
      <c r="F937" t="str">
        <f>_xlfn.XLOOKUP(G937,ecu_admgz_adm2!D:D,ecu_admgz_adm2!C:C)</f>
        <v>Palanda</v>
      </c>
      <c r="G937" t="str">
        <f t="shared" si="73"/>
        <v>EC1908</v>
      </c>
      <c r="H937" t="str">
        <f t="shared" si="74"/>
        <v>EC19</v>
      </c>
      <c r="I937" t="str">
        <f>_xlfn.XLOOKUP(H937,eci_admgz_adm1!D:D,eci_admgz_adm1!C:C)</f>
        <v>Zamora Chinchipe</v>
      </c>
      <c r="J937" t="s">
        <v>2021</v>
      </c>
      <c r="K937" s="1" t="s">
        <v>2023</v>
      </c>
    </row>
    <row r="938" spans="1:11" ht="16" x14ac:dyDescent="0.2">
      <c r="A938" t="s">
        <v>1774</v>
      </c>
      <c r="B938" t="s">
        <v>1775</v>
      </c>
      <c r="C938" t="str">
        <f t="shared" si="71"/>
        <v>El Porvenir Del Carmen</v>
      </c>
      <c r="D938" t="str">
        <f t="shared" si="70"/>
        <v>El Porvenir del Carmen</v>
      </c>
      <c r="E938" t="str">
        <f t="shared" si="72"/>
        <v>EC190851</v>
      </c>
      <c r="F938" t="str">
        <f>_xlfn.XLOOKUP(G938,ecu_admgz_adm2!D:D,ecu_admgz_adm2!C:C)</f>
        <v>Palanda</v>
      </c>
      <c r="G938" t="str">
        <f t="shared" si="73"/>
        <v>EC1908</v>
      </c>
      <c r="H938" t="str">
        <f t="shared" si="74"/>
        <v>EC19</v>
      </c>
      <c r="I938" t="str">
        <f>_xlfn.XLOOKUP(H938,eci_admgz_adm1!D:D,eci_admgz_adm1!C:C)</f>
        <v>Zamora Chinchipe</v>
      </c>
      <c r="J938" t="s">
        <v>2021</v>
      </c>
      <c r="K938" s="1" t="s">
        <v>2023</v>
      </c>
    </row>
    <row r="939" spans="1:11" ht="16" x14ac:dyDescent="0.2">
      <c r="A939" t="s">
        <v>1776</v>
      </c>
      <c r="B939" t="s">
        <v>1777</v>
      </c>
      <c r="C939" t="str">
        <f t="shared" si="71"/>
        <v>San Francisco Del Vergel</v>
      </c>
      <c r="D939" t="str">
        <f t="shared" si="70"/>
        <v>San Francisco del Vergel</v>
      </c>
      <c r="E939" t="str">
        <f t="shared" si="72"/>
        <v>EC190852</v>
      </c>
      <c r="F939" t="str">
        <f>_xlfn.XLOOKUP(G939,ecu_admgz_adm2!D:D,ecu_admgz_adm2!C:C)</f>
        <v>Palanda</v>
      </c>
      <c r="G939" t="str">
        <f t="shared" si="73"/>
        <v>EC1908</v>
      </c>
      <c r="H939" t="str">
        <f t="shared" si="74"/>
        <v>EC19</v>
      </c>
      <c r="I939" t="str">
        <f>_xlfn.XLOOKUP(H939,eci_admgz_adm1!D:D,eci_admgz_adm1!C:C)</f>
        <v>Zamora Chinchipe</v>
      </c>
      <c r="J939" t="s">
        <v>2021</v>
      </c>
      <c r="K939" s="1" t="s">
        <v>2023</v>
      </c>
    </row>
    <row r="940" spans="1:11" ht="16" x14ac:dyDescent="0.2">
      <c r="A940" t="s">
        <v>1778</v>
      </c>
      <c r="B940" t="s">
        <v>1779</v>
      </c>
      <c r="C940" t="str">
        <f t="shared" si="71"/>
        <v>Valladolid</v>
      </c>
      <c r="D940" t="str">
        <f t="shared" si="70"/>
        <v>Valladolid</v>
      </c>
      <c r="E940" t="str">
        <f t="shared" si="72"/>
        <v>EC190853</v>
      </c>
      <c r="F940" t="str">
        <f>_xlfn.XLOOKUP(G940,ecu_admgz_adm2!D:D,ecu_admgz_adm2!C:C)</f>
        <v>Palanda</v>
      </c>
      <c r="G940" t="str">
        <f t="shared" si="73"/>
        <v>EC1908</v>
      </c>
      <c r="H940" t="str">
        <f t="shared" si="74"/>
        <v>EC19</v>
      </c>
      <c r="I940" t="str">
        <f>_xlfn.XLOOKUP(H940,eci_admgz_adm1!D:D,eci_admgz_adm1!C:C)</f>
        <v>Zamora Chinchipe</v>
      </c>
      <c r="J940" t="s">
        <v>2021</v>
      </c>
      <c r="K940" s="1" t="s">
        <v>2023</v>
      </c>
    </row>
    <row r="941" spans="1:11" ht="16" x14ac:dyDescent="0.2">
      <c r="A941" t="s">
        <v>1780</v>
      </c>
      <c r="B941" t="s">
        <v>1781</v>
      </c>
      <c r="C941" t="str">
        <f t="shared" si="71"/>
        <v>La Canela</v>
      </c>
      <c r="D941" t="str">
        <f t="shared" si="70"/>
        <v>La Canela</v>
      </c>
      <c r="E941" t="str">
        <f t="shared" si="72"/>
        <v>EC190854</v>
      </c>
      <c r="F941" t="str">
        <f>_xlfn.XLOOKUP(G941,ecu_admgz_adm2!D:D,ecu_admgz_adm2!C:C)</f>
        <v>Palanda</v>
      </c>
      <c r="G941" t="str">
        <f t="shared" si="73"/>
        <v>EC1908</v>
      </c>
      <c r="H941" t="str">
        <f t="shared" si="74"/>
        <v>EC19</v>
      </c>
      <c r="I941" t="str">
        <f>_xlfn.XLOOKUP(H941,eci_admgz_adm1!D:D,eci_admgz_adm1!C:C)</f>
        <v>Zamora Chinchipe</v>
      </c>
      <c r="J941" t="s">
        <v>2021</v>
      </c>
      <c r="K941" s="1" t="s">
        <v>2023</v>
      </c>
    </row>
    <row r="942" spans="1:11" ht="16" x14ac:dyDescent="0.2">
      <c r="A942" t="s">
        <v>1782</v>
      </c>
      <c r="B942" t="s">
        <v>1783</v>
      </c>
      <c r="C942" t="str">
        <f t="shared" si="71"/>
        <v>Paquisha</v>
      </c>
      <c r="D942" t="str">
        <f t="shared" si="70"/>
        <v>Paquisha</v>
      </c>
      <c r="E942" t="str">
        <f t="shared" si="72"/>
        <v>EC190950</v>
      </c>
      <c r="F942" t="str">
        <f>_xlfn.XLOOKUP(G942,ecu_admgz_adm2!D:D,ecu_admgz_adm2!C:C)</f>
        <v>Paquisha</v>
      </c>
      <c r="G942" t="str">
        <f t="shared" si="73"/>
        <v>EC1909</v>
      </c>
      <c r="H942" t="str">
        <f t="shared" si="74"/>
        <v>EC19</v>
      </c>
      <c r="I942" t="str">
        <f>_xlfn.XLOOKUP(H942,eci_admgz_adm1!D:D,eci_admgz_adm1!C:C)</f>
        <v>Zamora Chinchipe</v>
      </c>
      <c r="J942" t="s">
        <v>2021</v>
      </c>
      <c r="K942" s="1" t="s">
        <v>2023</v>
      </c>
    </row>
    <row r="943" spans="1:11" ht="16" x14ac:dyDescent="0.2">
      <c r="A943" t="s">
        <v>1784</v>
      </c>
      <c r="B943" t="s">
        <v>608</v>
      </c>
      <c r="C943" t="str">
        <f t="shared" si="71"/>
        <v>Bellavista</v>
      </c>
      <c r="D943" t="str">
        <f t="shared" si="70"/>
        <v>Bellavista</v>
      </c>
      <c r="E943" t="str">
        <f t="shared" si="72"/>
        <v>EC190951</v>
      </c>
      <c r="F943" t="str">
        <f>_xlfn.XLOOKUP(G943,ecu_admgz_adm2!D:D,ecu_admgz_adm2!C:C)</f>
        <v>Paquisha</v>
      </c>
      <c r="G943" t="str">
        <f t="shared" si="73"/>
        <v>EC1909</v>
      </c>
      <c r="H943" t="str">
        <f t="shared" si="74"/>
        <v>EC19</v>
      </c>
      <c r="I943" t="str">
        <f>_xlfn.XLOOKUP(H943,eci_admgz_adm1!D:D,eci_admgz_adm1!C:C)</f>
        <v>Zamora Chinchipe</v>
      </c>
      <c r="J943" t="s">
        <v>2021</v>
      </c>
      <c r="K943" s="1" t="s">
        <v>2023</v>
      </c>
    </row>
    <row r="944" spans="1:11" ht="16" x14ac:dyDescent="0.2">
      <c r="A944" t="s">
        <v>1785</v>
      </c>
      <c r="B944" t="s">
        <v>1786</v>
      </c>
      <c r="C944" t="str">
        <f t="shared" si="71"/>
        <v>Nuevo Quito</v>
      </c>
      <c r="D944" t="str">
        <f t="shared" si="70"/>
        <v>Nuevo Quito</v>
      </c>
      <c r="E944" t="str">
        <f t="shared" si="72"/>
        <v>EC190952</v>
      </c>
      <c r="F944" t="str">
        <f>_xlfn.XLOOKUP(G944,ecu_admgz_adm2!D:D,ecu_admgz_adm2!C:C)</f>
        <v>Paquisha</v>
      </c>
      <c r="G944" t="str">
        <f t="shared" si="73"/>
        <v>EC1909</v>
      </c>
      <c r="H944" t="str">
        <f t="shared" si="74"/>
        <v>EC19</v>
      </c>
      <c r="I944" t="str">
        <f>_xlfn.XLOOKUP(H944,eci_admgz_adm1!D:D,eci_admgz_adm1!C:C)</f>
        <v>Zamora Chinchipe</v>
      </c>
      <c r="J944" t="s">
        <v>2021</v>
      </c>
      <c r="K944" s="1" t="s">
        <v>2023</v>
      </c>
    </row>
    <row r="945" spans="1:11" ht="16" x14ac:dyDescent="0.2">
      <c r="A945" t="s">
        <v>1787</v>
      </c>
      <c r="B945" t="s">
        <v>1788</v>
      </c>
      <c r="C945" t="str">
        <f t="shared" si="71"/>
        <v>Puerto Baquerizo Moreno</v>
      </c>
      <c r="D945" t="str">
        <f t="shared" si="70"/>
        <v>Puerto Baquerizo Moreno</v>
      </c>
      <c r="E945" t="str">
        <f t="shared" si="72"/>
        <v>EC200150</v>
      </c>
      <c r="F945" t="str">
        <f>_xlfn.XLOOKUP(G945,ecu_admgz_adm2!D:D,ecu_admgz_adm2!C:C)</f>
        <v>San Cristóbal</v>
      </c>
      <c r="G945" t="str">
        <f t="shared" si="73"/>
        <v>EC2001</v>
      </c>
      <c r="H945" t="str">
        <f t="shared" si="74"/>
        <v>EC20</v>
      </c>
      <c r="I945" t="str">
        <f>_xlfn.XLOOKUP(H945,eci_admgz_adm1!D:D,eci_admgz_adm1!C:C)</f>
        <v>Galápagos</v>
      </c>
      <c r="J945" t="s">
        <v>2021</v>
      </c>
      <c r="K945" s="1" t="s">
        <v>2023</v>
      </c>
    </row>
    <row r="946" spans="1:11" ht="16" x14ac:dyDescent="0.2">
      <c r="A946" t="s">
        <v>1789</v>
      </c>
      <c r="B946" t="s">
        <v>75</v>
      </c>
      <c r="C946" t="str">
        <f t="shared" si="71"/>
        <v>El Progreso</v>
      </c>
      <c r="D946" t="str">
        <f t="shared" si="70"/>
        <v>El Progreso</v>
      </c>
      <c r="E946" t="str">
        <f t="shared" si="72"/>
        <v>EC200151</v>
      </c>
      <c r="F946" t="str">
        <f>_xlfn.XLOOKUP(G946,ecu_admgz_adm2!D:D,ecu_admgz_adm2!C:C)</f>
        <v>San Cristóbal</v>
      </c>
      <c r="G946" t="str">
        <f t="shared" si="73"/>
        <v>EC2001</v>
      </c>
      <c r="H946" t="str">
        <f t="shared" si="74"/>
        <v>EC20</v>
      </c>
      <c r="I946" t="str">
        <f>_xlfn.XLOOKUP(H946,eci_admgz_adm1!D:D,eci_admgz_adm1!C:C)</f>
        <v>Galápagos</v>
      </c>
      <c r="J946" t="s">
        <v>2021</v>
      </c>
      <c r="K946" s="1" t="s">
        <v>2023</v>
      </c>
    </row>
    <row r="947" spans="1:11" ht="16" x14ac:dyDescent="0.2">
      <c r="A947" t="s">
        <v>1790</v>
      </c>
      <c r="B947" t="s">
        <v>1791</v>
      </c>
      <c r="C947" t="str">
        <f t="shared" si="71"/>
        <v>Isla Santa María Floreana</v>
      </c>
      <c r="D947" t="str">
        <f t="shared" si="70"/>
        <v>Isla Santa María Floreana</v>
      </c>
      <c r="E947" t="str">
        <f t="shared" si="72"/>
        <v>EC200152</v>
      </c>
      <c r="F947" t="str">
        <f>_xlfn.XLOOKUP(G947,ecu_admgz_adm2!D:D,ecu_admgz_adm2!C:C)</f>
        <v>San Cristóbal</v>
      </c>
      <c r="G947" t="str">
        <f t="shared" si="73"/>
        <v>EC2001</v>
      </c>
      <c r="H947" t="str">
        <f t="shared" si="74"/>
        <v>EC20</v>
      </c>
      <c r="I947" t="str">
        <f>_xlfn.XLOOKUP(H947,eci_admgz_adm1!D:D,eci_admgz_adm1!C:C)</f>
        <v>Galápagos</v>
      </c>
      <c r="J947" t="s">
        <v>2021</v>
      </c>
      <c r="K947" s="1" t="s">
        <v>2023</v>
      </c>
    </row>
    <row r="948" spans="1:11" ht="16" x14ac:dyDescent="0.2">
      <c r="A948" t="s">
        <v>1792</v>
      </c>
      <c r="B948" t="s">
        <v>1793</v>
      </c>
      <c r="C948" t="str">
        <f t="shared" si="71"/>
        <v>Puerto Villamil</v>
      </c>
      <c r="D948" t="str">
        <f t="shared" si="70"/>
        <v>Puerto Villamil</v>
      </c>
      <c r="E948" t="str">
        <f t="shared" si="72"/>
        <v>EC200250</v>
      </c>
      <c r="F948" t="str">
        <f>_xlfn.XLOOKUP(G948,ecu_admgz_adm2!D:D,ecu_admgz_adm2!C:C)</f>
        <v>Isabela</v>
      </c>
      <c r="G948" t="str">
        <f t="shared" si="73"/>
        <v>EC2002</v>
      </c>
      <c r="H948" t="str">
        <f t="shared" si="74"/>
        <v>EC20</v>
      </c>
      <c r="I948" t="str">
        <f>_xlfn.XLOOKUP(H948,eci_admgz_adm1!D:D,eci_admgz_adm1!C:C)</f>
        <v>Galápagos</v>
      </c>
      <c r="J948" t="s">
        <v>2021</v>
      </c>
      <c r="K948" s="1" t="s">
        <v>2023</v>
      </c>
    </row>
    <row r="949" spans="1:11" ht="16" x14ac:dyDescent="0.2">
      <c r="A949" t="s">
        <v>1794</v>
      </c>
      <c r="B949" t="s">
        <v>1795</v>
      </c>
      <c r="C949" t="str">
        <f t="shared" si="71"/>
        <v>Tomás De Berlanga</v>
      </c>
      <c r="D949" t="str">
        <f t="shared" si="70"/>
        <v>Tomás de Berlanga</v>
      </c>
      <c r="E949" t="str">
        <f t="shared" si="72"/>
        <v>EC200251</v>
      </c>
      <c r="F949" t="str">
        <f>_xlfn.XLOOKUP(G949,ecu_admgz_adm2!D:D,ecu_admgz_adm2!C:C)</f>
        <v>Isabela</v>
      </c>
      <c r="G949" t="str">
        <f t="shared" si="73"/>
        <v>EC2002</v>
      </c>
      <c r="H949" t="str">
        <f t="shared" si="74"/>
        <v>EC20</v>
      </c>
      <c r="I949" t="str">
        <f>_xlfn.XLOOKUP(H949,eci_admgz_adm1!D:D,eci_admgz_adm1!C:C)</f>
        <v>Galápagos</v>
      </c>
      <c r="J949" t="s">
        <v>2021</v>
      </c>
      <c r="K949" s="1" t="s">
        <v>2023</v>
      </c>
    </row>
    <row r="950" spans="1:11" ht="16" x14ac:dyDescent="0.2">
      <c r="A950" t="s">
        <v>1796</v>
      </c>
      <c r="B950" t="s">
        <v>1797</v>
      </c>
      <c r="C950" t="str">
        <f t="shared" si="71"/>
        <v>Puerto Ayora</v>
      </c>
      <c r="D950" t="str">
        <f t="shared" si="70"/>
        <v>Puerto Ayora</v>
      </c>
      <c r="E950" t="str">
        <f t="shared" si="72"/>
        <v>EC200350</v>
      </c>
      <c r="F950" t="str">
        <f>_xlfn.XLOOKUP(G950,ecu_admgz_adm2!D:D,ecu_admgz_adm2!C:C)</f>
        <v>Santa Cruz</v>
      </c>
      <c r="G950" t="str">
        <f t="shared" si="73"/>
        <v>EC2003</v>
      </c>
      <c r="H950" t="str">
        <f t="shared" si="74"/>
        <v>EC20</v>
      </c>
      <c r="I950" t="str">
        <f>_xlfn.XLOOKUP(H950,eci_admgz_adm1!D:D,eci_admgz_adm1!C:C)</f>
        <v>Galápagos</v>
      </c>
      <c r="J950" t="s">
        <v>2021</v>
      </c>
      <c r="K950" s="1" t="s">
        <v>2023</v>
      </c>
    </row>
    <row r="951" spans="1:11" ht="16" x14ac:dyDescent="0.2">
      <c r="A951" t="s">
        <v>1798</v>
      </c>
      <c r="B951" t="s">
        <v>1799</v>
      </c>
      <c r="C951" t="str">
        <f t="shared" si="71"/>
        <v>Bella Vista</v>
      </c>
      <c r="D951" t="str">
        <f t="shared" si="70"/>
        <v>Bella Vista</v>
      </c>
      <c r="E951" t="str">
        <f t="shared" si="72"/>
        <v>EC200351</v>
      </c>
      <c r="F951" t="str">
        <f>_xlfn.XLOOKUP(G951,ecu_admgz_adm2!D:D,ecu_admgz_adm2!C:C)</f>
        <v>Santa Cruz</v>
      </c>
      <c r="G951" t="str">
        <f t="shared" si="73"/>
        <v>EC2003</v>
      </c>
      <c r="H951" t="str">
        <f t="shared" si="74"/>
        <v>EC20</v>
      </c>
      <c r="I951" t="str">
        <f>_xlfn.XLOOKUP(H951,eci_admgz_adm1!D:D,eci_admgz_adm1!C:C)</f>
        <v>Galápagos</v>
      </c>
      <c r="J951" t="s">
        <v>2021</v>
      </c>
      <c r="K951" s="1" t="s">
        <v>2023</v>
      </c>
    </row>
    <row r="952" spans="1:11" ht="16" x14ac:dyDescent="0.2">
      <c r="A952" t="s">
        <v>1800</v>
      </c>
      <c r="B952" t="s">
        <v>606</v>
      </c>
      <c r="C952" t="str">
        <f t="shared" si="71"/>
        <v>Santa Rosa</v>
      </c>
      <c r="D952" t="str">
        <f t="shared" si="70"/>
        <v>Santa Rosa</v>
      </c>
      <c r="E952" t="str">
        <f t="shared" si="72"/>
        <v>EC200352</v>
      </c>
      <c r="F952" t="str">
        <f>_xlfn.XLOOKUP(G952,ecu_admgz_adm2!D:D,ecu_admgz_adm2!C:C)</f>
        <v>Santa Cruz</v>
      </c>
      <c r="G952" t="str">
        <f t="shared" si="73"/>
        <v>EC2003</v>
      </c>
      <c r="H952" t="str">
        <f t="shared" si="74"/>
        <v>EC20</v>
      </c>
      <c r="I952" t="str">
        <f>_xlfn.XLOOKUP(H952,eci_admgz_adm1!D:D,eci_admgz_adm1!C:C)</f>
        <v>Galápagos</v>
      </c>
      <c r="J952" t="s">
        <v>2021</v>
      </c>
      <c r="K952" s="1" t="s">
        <v>2023</v>
      </c>
    </row>
    <row r="953" spans="1:11" ht="16" x14ac:dyDescent="0.2">
      <c r="A953" t="s">
        <v>1801</v>
      </c>
      <c r="B953" t="s">
        <v>1802</v>
      </c>
      <c r="C953" t="str">
        <f t="shared" si="71"/>
        <v>Nueva Loja</v>
      </c>
      <c r="D953" t="str">
        <f t="shared" si="70"/>
        <v>Nueva Loja</v>
      </c>
      <c r="E953" t="str">
        <f t="shared" si="72"/>
        <v>EC210150</v>
      </c>
      <c r="F953" t="str">
        <f>_xlfn.XLOOKUP(G953,ecu_admgz_adm2!D:D,ecu_admgz_adm2!C:C)</f>
        <v>Lago Agrio</v>
      </c>
      <c r="G953" t="str">
        <f t="shared" si="73"/>
        <v>EC2101</v>
      </c>
      <c r="H953" t="str">
        <f t="shared" si="74"/>
        <v>EC21</v>
      </c>
      <c r="I953" t="str">
        <f>_xlfn.XLOOKUP(H953,eci_admgz_adm1!D:D,eci_admgz_adm1!C:C)</f>
        <v>Sucumbíos</v>
      </c>
      <c r="J953" t="s">
        <v>2021</v>
      </c>
      <c r="K953" s="1" t="s">
        <v>2023</v>
      </c>
    </row>
    <row r="954" spans="1:11" ht="16" x14ac:dyDescent="0.2">
      <c r="A954" t="s">
        <v>1803</v>
      </c>
      <c r="B954" t="s">
        <v>1804</v>
      </c>
      <c r="C954" t="str">
        <f t="shared" si="71"/>
        <v>Dureno</v>
      </c>
      <c r="D954" t="str">
        <f t="shared" si="70"/>
        <v>Dureno</v>
      </c>
      <c r="E954" t="str">
        <f t="shared" si="72"/>
        <v>EC210152</v>
      </c>
      <c r="F954" t="str">
        <f>_xlfn.XLOOKUP(G954,ecu_admgz_adm2!D:D,ecu_admgz_adm2!C:C)</f>
        <v>Lago Agrio</v>
      </c>
      <c r="G954" t="str">
        <f t="shared" si="73"/>
        <v>EC2101</v>
      </c>
      <c r="H954" t="str">
        <f t="shared" si="74"/>
        <v>EC21</v>
      </c>
      <c r="I954" t="str">
        <f>_xlfn.XLOOKUP(H954,eci_admgz_adm1!D:D,eci_admgz_adm1!C:C)</f>
        <v>Sucumbíos</v>
      </c>
      <c r="J954" t="s">
        <v>2021</v>
      </c>
      <c r="K954" s="1" t="s">
        <v>2023</v>
      </c>
    </row>
    <row r="955" spans="1:11" ht="16" x14ac:dyDescent="0.2">
      <c r="A955" t="s">
        <v>1805</v>
      </c>
      <c r="B955" t="s">
        <v>1806</v>
      </c>
      <c r="C955" t="str">
        <f t="shared" si="71"/>
        <v>General Farfán</v>
      </c>
      <c r="D955" t="str">
        <f t="shared" si="70"/>
        <v>General Farfán</v>
      </c>
      <c r="E955" t="str">
        <f t="shared" si="72"/>
        <v>EC210153</v>
      </c>
      <c r="F955" t="str">
        <f>_xlfn.XLOOKUP(G955,ecu_admgz_adm2!D:D,ecu_admgz_adm2!C:C)</f>
        <v>Lago Agrio</v>
      </c>
      <c r="G955" t="str">
        <f t="shared" si="73"/>
        <v>EC2101</v>
      </c>
      <c r="H955" t="str">
        <f t="shared" si="74"/>
        <v>EC21</v>
      </c>
      <c r="I955" t="str">
        <f>_xlfn.XLOOKUP(H955,eci_admgz_adm1!D:D,eci_admgz_adm1!C:C)</f>
        <v>Sucumbíos</v>
      </c>
      <c r="J955" t="s">
        <v>2021</v>
      </c>
      <c r="K955" s="1" t="s">
        <v>2023</v>
      </c>
    </row>
    <row r="956" spans="1:11" ht="16" x14ac:dyDescent="0.2">
      <c r="A956" t="s">
        <v>1807</v>
      </c>
      <c r="B956" t="s">
        <v>1808</v>
      </c>
      <c r="C956" t="str">
        <f t="shared" si="71"/>
        <v>El Eno</v>
      </c>
      <c r="D956" t="str">
        <f t="shared" si="70"/>
        <v>El eno</v>
      </c>
      <c r="E956" t="str">
        <f t="shared" si="72"/>
        <v>EC210155</v>
      </c>
      <c r="F956" t="str">
        <f>_xlfn.XLOOKUP(G956,ecu_admgz_adm2!D:D,ecu_admgz_adm2!C:C)</f>
        <v>Lago Agrio</v>
      </c>
      <c r="G956" t="str">
        <f t="shared" si="73"/>
        <v>EC2101</v>
      </c>
      <c r="H956" t="str">
        <f t="shared" si="74"/>
        <v>EC21</v>
      </c>
      <c r="I956" t="str">
        <f>_xlfn.XLOOKUP(H956,eci_admgz_adm1!D:D,eci_admgz_adm1!C:C)</f>
        <v>Sucumbíos</v>
      </c>
      <c r="J956" t="s">
        <v>2021</v>
      </c>
      <c r="K956" s="1" t="s">
        <v>2023</v>
      </c>
    </row>
    <row r="957" spans="1:11" ht="16" x14ac:dyDescent="0.2">
      <c r="A957" t="s">
        <v>1809</v>
      </c>
      <c r="B957" t="s">
        <v>1810</v>
      </c>
      <c r="C957" t="str">
        <f t="shared" si="71"/>
        <v>Pacayacu</v>
      </c>
      <c r="D957" t="str">
        <f t="shared" si="70"/>
        <v>Pacayacu</v>
      </c>
      <c r="E957" t="str">
        <f t="shared" si="72"/>
        <v>EC210156</v>
      </c>
      <c r="F957" t="str">
        <f>_xlfn.XLOOKUP(G957,ecu_admgz_adm2!D:D,ecu_admgz_adm2!C:C)</f>
        <v>Lago Agrio</v>
      </c>
      <c r="G957" t="str">
        <f t="shared" si="73"/>
        <v>EC2101</v>
      </c>
      <c r="H957" t="str">
        <f t="shared" si="74"/>
        <v>EC21</v>
      </c>
      <c r="I957" t="str">
        <f>_xlfn.XLOOKUP(H957,eci_admgz_adm1!D:D,eci_admgz_adm1!C:C)</f>
        <v>Sucumbíos</v>
      </c>
      <c r="J957" t="s">
        <v>2021</v>
      </c>
      <c r="K957" s="1" t="s">
        <v>2023</v>
      </c>
    </row>
    <row r="958" spans="1:11" ht="16" x14ac:dyDescent="0.2">
      <c r="A958" t="s">
        <v>1811</v>
      </c>
      <c r="B958" t="s">
        <v>610</v>
      </c>
      <c r="C958" t="str">
        <f t="shared" si="71"/>
        <v>Jambelí</v>
      </c>
      <c r="D958" t="str">
        <f t="shared" si="70"/>
        <v>Jambelí</v>
      </c>
      <c r="E958" t="str">
        <f t="shared" si="72"/>
        <v>EC210157</v>
      </c>
      <c r="F958" t="str">
        <f>_xlfn.XLOOKUP(G958,ecu_admgz_adm2!D:D,ecu_admgz_adm2!C:C)</f>
        <v>Lago Agrio</v>
      </c>
      <c r="G958" t="str">
        <f t="shared" si="73"/>
        <v>EC2101</v>
      </c>
      <c r="H958" t="str">
        <f t="shared" si="74"/>
        <v>EC21</v>
      </c>
      <c r="I958" t="str">
        <f>_xlfn.XLOOKUP(H958,eci_admgz_adm1!D:D,eci_admgz_adm1!C:C)</f>
        <v>Sucumbíos</v>
      </c>
      <c r="J958" t="s">
        <v>2021</v>
      </c>
      <c r="K958" s="1" t="s">
        <v>2023</v>
      </c>
    </row>
    <row r="959" spans="1:11" ht="16" x14ac:dyDescent="0.2">
      <c r="A959" t="s">
        <v>1812</v>
      </c>
      <c r="B959" t="s">
        <v>1813</v>
      </c>
      <c r="C959" t="str">
        <f t="shared" si="71"/>
        <v>Santa Cecilia</v>
      </c>
      <c r="D959" t="str">
        <f t="shared" si="70"/>
        <v>Santa Cecilia</v>
      </c>
      <c r="E959" t="str">
        <f t="shared" si="72"/>
        <v>EC210158</v>
      </c>
      <c r="F959" t="str">
        <f>_xlfn.XLOOKUP(G959,ecu_admgz_adm2!D:D,ecu_admgz_adm2!C:C)</f>
        <v>Lago Agrio</v>
      </c>
      <c r="G959" t="str">
        <f t="shared" si="73"/>
        <v>EC2101</v>
      </c>
      <c r="H959" t="str">
        <f t="shared" si="74"/>
        <v>EC21</v>
      </c>
      <c r="I959" t="str">
        <f>_xlfn.XLOOKUP(H959,eci_admgz_adm1!D:D,eci_admgz_adm1!C:C)</f>
        <v>Sucumbíos</v>
      </c>
      <c r="J959" t="s">
        <v>2021</v>
      </c>
      <c r="K959" s="1" t="s">
        <v>2023</v>
      </c>
    </row>
    <row r="960" spans="1:11" ht="16" x14ac:dyDescent="0.2">
      <c r="A960" t="s">
        <v>1814</v>
      </c>
      <c r="B960" t="s">
        <v>1815</v>
      </c>
      <c r="C960" t="str">
        <f t="shared" si="71"/>
        <v>10 De Agosto</v>
      </c>
      <c r="D960" t="str">
        <f t="shared" si="70"/>
        <v>10 de Agosto</v>
      </c>
      <c r="E960" t="str">
        <f t="shared" si="72"/>
        <v>EC210160</v>
      </c>
      <c r="F960" t="str">
        <f>_xlfn.XLOOKUP(G960,ecu_admgz_adm2!D:D,ecu_admgz_adm2!C:C)</f>
        <v>Lago Agrio</v>
      </c>
      <c r="G960" t="str">
        <f t="shared" si="73"/>
        <v>EC2101</v>
      </c>
      <c r="H960" t="str">
        <f t="shared" si="74"/>
        <v>EC21</v>
      </c>
      <c r="I960" t="str">
        <f>_xlfn.XLOOKUP(H960,eci_admgz_adm1!D:D,eci_admgz_adm1!C:C)</f>
        <v>Sucumbíos</v>
      </c>
      <c r="J960" t="s">
        <v>2021</v>
      </c>
      <c r="K960" s="1" t="s">
        <v>2023</v>
      </c>
    </row>
    <row r="961" spans="1:11" ht="16" x14ac:dyDescent="0.2">
      <c r="A961" t="s">
        <v>1816</v>
      </c>
      <c r="B961" t="s">
        <v>1817</v>
      </c>
      <c r="C961" t="str">
        <f t="shared" si="71"/>
        <v>Lumbaquí</v>
      </c>
      <c r="D961" t="str">
        <f t="shared" si="70"/>
        <v>Lumbaquí</v>
      </c>
      <c r="E961" t="str">
        <f t="shared" si="72"/>
        <v>EC210250</v>
      </c>
      <c r="F961" t="str">
        <f>_xlfn.XLOOKUP(G961,ecu_admgz_adm2!D:D,ecu_admgz_adm2!C:C)</f>
        <v>Gonzalo Pizarro</v>
      </c>
      <c r="G961" t="str">
        <f t="shared" si="73"/>
        <v>EC2102</v>
      </c>
      <c r="H961" t="str">
        <f t="shared" si="74"/>
        <v>EC21</v>
      </c>
      <c r="I961" t="str">
        <f>_xlfn.XLOOKUP(H961,eci_admgz_adm1!D:D,eci_admgz_adm1!C:C)</f>
        <v>Sucumbíos</v>
      </c>
      <c r="J961" t="s">
        <v>2021</v>
      </c>
      <c r="K961" s="1" t="s">
        <v>2023</v>
      </c>
    </row>
    <row r="962" spans="1:11" ht="16" x14ac:dyDescent="0.2">
      <c r="A962" t="s">
        <v>1819</v>
      </c>
      <c r="B962" t="s">
        <v>1820</v>
      </c>
      <c r="C962" t="str">
        <f t="shared" si="71"/>
        <v>El Reventador</v>
      </c>
      <c r="D962" t="str">
        <f t="shared" ref="D962:D1025" si="75">SUBSTITUTE(SUBSTITUTE(SUBSTITUTE(SUBSTITUTE(SUBSTITUTE(SUBSTITUTE(PROPER($C962)," De "," de ")," La "," la ")," Del "," del ")," Los "," los ")," Y "," y "),"En","en")</f>
        <v>El Reventador</v>
      </c>
      <c r="E962" t="str">
        <f t="shared" si="72"/>
        <v>EC210251</v>
      </c>
      <c r="F962" t="str">
        <f>_xlfn.XLOOKUP(G962,ecu_admgz_adm2!D:D,ecu_admgz_adm2!C:C)</f>
        <v>Gonzalo Pizarro</v>
      </c>
      <c r="G962" t="str">
        <f t="shared" si="73"/>
        <v>EC2102</v>
      </c>
      <c r="H962" t="str">
        <f t="shared" si="74"/>
        <v>EC21</v>
      </c>
      <c r="I962" t="str">
        <f>_xlfn.XLOOKUP(H962,eci_admgz_adm1!D:D,eci_admgz_adm1!C:C)</f>
        <v>Sucumbíos</v>
      </c>
      <c r="J962" t="s">
        <v>2021</v>
      </c>
      <c r="K962" s="1" t="s">
        <v>2023</v>
      </c>
    </row>
    <row r="963" spans="1:11" ht="16" x14ac:dyDescent="0.2">
      <c r="A963" t="s">
        <v>1821</v>
      </c>
      <c r="B963" t="s">
        <v>1818</v>
      </c>
      <c r="C963" t="str">
        <f t="shared" ref="C963:C1026" si="76">PROPER(B963)</f>
        <v>Gonzalo Pizarro</v>
      </c>
      <c r="D963" t="str">
        <f t="shared" si="75"/>
        <v>Gonzalo Pizarro</v>
      </c>
      <c r="E963" t="str">
        <f t="shared" ref="E963:E1026" si="77">"EC"&amp;A963</f>
        <v>EC210252</v>
      </c>
      <c r="F963" t="str">
        <f>_xlfn.XLOOKUP(G963,ecu_admgz_adm2!D:D,ecu_admgz_adm2!C:C)</f>
        <v>Gonzalo Pizarro</v>
      </c>
      <c r="G963" t="str">
        <f t="shared" ref="G963:G1026" si="78">LEFT(E963,6)</f>
        <v>EC2102</v>
      </c>
      <c r="H963" t="str">
        <f t="shared" ref="H963:H1026" si="79">LEFT(G963,4)</f>
        <v>EC21</v>
      </c>
      <c r="I963" t="str">
        <f>_xlfn.XLOOKUP(H963,eci_admgz_adm1!D:D,eci_admgz_adm1!C:C)</f>
        <v>Sucumbíos</v>
      </c>
      <c r="J963" t="s">
        <v>2021</v>
      </c>
      <c r="K963" s="1" t="s">
        <v>2023</v>
      </c>
    </row>
    <row r="964" spans="1:11" ht="16" x14ac:dyDescent="0.2">
      <c r="A964" t="s">
        <v>1822</v>
      </c>
      <c r="B964" t="s">
        <v>1823</v>
      </c>
      <c r="C964" t="str">
        <f t="shared" si="76"/>
        <v>Puerto Libre</v>
      </c>
      <c r="D964" t="str">
        <f t="shared" si="75"/>
        <v>Puerto Libre</v>
      </c>
      <c r="E964" t="str">
        <f t="shared" si="77"/>
        <v>EC210254</v>
      </c>
      <c r="F964" t="str">
        <f>_xlfn.XLOOKUP(G964,ecu_admgz_adm2!D:D,ecu_admgz_adm2!C:C)</f>
        <v>Gonzalo Pizarro</v>
      </c>
      <c r="G964" t="str">
        <f t="shared" si="78"/>
        <v>EC2102</v>
      </c>
      <c r="H964" t="str">
        <f t="shared" si="79"/>
        <v>EC21</v>
      </c>
      <c r="I964" t="str">
        <f>_xlfn.XLOOKUP(H964,eci_admgz_adm1!D:D,eci_admgz_adm1!C:C)</f>
        <v>Sucumbíos</v>
      </c>
      <c r="J964" t="s">
        <v>2021</v>
      </c>
      <c r="K964" s="1" t="s">
        <v>2023</v>
      </c>
    </row>
    <row r="965" spans="1:11" ht="16" x14ac:dyDescent="0.2">
      <c r="A965" t="s">
        <v>1824</v>
      </c>
      <c r="B965" t="s">
        <v>1825</v>
      </c>
      <c r="C965" t="str">
        <f t="shared" si="76"/>
        <v>Puerto El Carmen De Putumayo</v>
      </c>
      <c r="D965" t="str">
        <f t="shared" si="75"/>
        <v>Puerto El Carmen de Putumayo</v>
      </c>
      <c r="E965" t="str">
        <f t="shared" si="77"/>
        <v>EC210350</v>
      </c>
      <c r="F965" t="str">
        <f>_xlfn.XLOOKUP(G965,ecu_admgz_adm2!D:D,ecu_admgz_adm2!C:C)</f>
        <v>Putumayo</v>
      </c>
      <c r="G965" t="str">
        <f t="shared" si="78"/>
        <v>EC2103</v>
      </c>
      <c r="H965" t="str">
        <f t="shared" si="79"/>
        <v>EC21</v>
      </c>
      <c r="I965" t="str">
        <f>_xlfn.XLOOKUP(H965,eci_admgz_adm1!D:D,eci_admgz_adm1!C:C)</f>
        <v>Sucumbíos</v>
      </c>
      <c r="J965" t="s">
        <v>2021</v>
      </c>
      <c r="K965" s="1" t="s">
        <v>2023</v>
      </c>
    </row>
    <row r="966" spans="1:11" ht="16" x14ac:dyDescent="0.2">
      <c r="A966" t="s">
        <v>1826</v>
      </c>
      <c r="B966" t="s">
        <v>1827</v>
      </c>
      <c r="C966" t="str">
        <f t="shared" si="76"/>
        <v>Palma Roja</v>
      </c>
      <c r="D966" t="str">
        <f t="shared" si="75"/>
        <v>Palma Roja</v>
      </c>
      <c r="E966" t="str">
        <f t="shared" si="77"/>
        <v>EC210351</v>
      </c>
      <c r="F966" t="str">
        <f>_xlfn.XLOOKUP(G966,ecu_admgz_adm2!D:D,ecu_admgz_adm2!C:C)</f>
        <v>Putumayo</v>
      </c>
      <c r="G966" t="str">
        <f t="shared" si="78"/>
        <v>EC2103</v>
      </c>
      <c r="H966" t="str">
        <f t="shared" si="79"/>
        <v>EC21</v>
      </c>
      <c r="I966" t="str">
        <f>_xlfn.XLOOKUP(H966,eci_admgz_adm1!D:D,eci_admgz_adm1!C:C)</f>
        <v>Sucumbíos</v>
      </c>
      <c r="J966" t="s">
        <v>2021</v>
      </c>
      <c r="K966" s="1" t="s">
        <v>2023</v>
      </c>
    </row>
    <row r="967" spans="1:11" ht="16" x14ac:dyDescent="0.2">
      <c r="A967" t="s">
        <v>1828</v>
      </c>
      <c r="B967" t="s">
        <v>1829</v>
      </c>
      <c r="C967" t="str">
        <f t="shared" si="76"/>
        <v>Puerto Bolívar</v>
      </c>
      <c r="D967" t="str">
        <f t="shared" si="75"/>
        <v>Puerto Bolívar</v>
      </c>
      <c r="E967" t="str">
        <f t="shared" si="77"/>
        <v>EC210352</v>
      </c>
      <c r="F967" t="str">
        <f>_xlfn.XLOOKUP(G967,ecu_admgz_adm2!D:D,ecu_admgz_adm2!C:C)</f>
        <v>Putumayo</v>
      </c>
      <c r="G967" t="str">
        <f t="shared" si="78"/>
        <v>EC2103</v>
      </c>
      <c r="H967" t="str">
        <f t="shared" si="79"/>
        <v>EC21</v>
      </c>
      <c r="I967" t="str">
        <f>_xlfn.XLOOKUP(H967,eci_admgz_adm1!D:D,eci_admgz_adm1!C:C)</f>
        <v>Sucumbíos</v>
      </c>
      <c r="J967" t="s">
        <v>2021</v>
      </c>
      <c r="K967" s="1" t="s">
        <v>2023</v>
      </c>
    </row>
    <row r="968" spans="1:11" ht="16" x14ac:dyDescent="0.2">
      <c r="A968" t="s">
        <v>1830</v>
      </c>
      <c r="B968" t="s">
        <v>1831</v>
      </c>
      <c r="C968" t="str">
        <f t="shared" si="76"/>
        <v>Puerto Rodríguez</v>
      </c>
      <c r="D968" t="str">
        <f t="shared" si="75"/>
        <v>Puerto Rodríguez</v>
      </c>
      <c r="E968" t="str">
        <f t="shared" si="77"/>
        <v>EC210353</v>
      </c>
      <c r="F968" t="str">
        <f>_xlfn.XLOOKUP(G968,ecu_admgz_adm2!D:D,ecu_admgz_adm2!C:C)</f>
        <v>Putumayo</v>
      </c>
      <c r="G968" t="str">
        <f t="shared" si="78"/>
        <v>EC2103</v>
      </c>
      <c r="H968" t="str">
        <f t="shared" si="79"/>
        <v>EC21</v>
      </c>
      <c r="I968" t="str">
        <f>_xlfn.XLOOKUP(H968,eci_admgz_adm1!D:D,eci_admgz_adm1!C:C)</f>
        <v>Sucumbíos</v>
      </c>
      <c r="J968" t="s">
        <v>2021</v>
      </c>
      <c r="K968" s="1" t="s">
        <v>2023</v>
      </c>
    </row>
    <row r="969" spans="1:11" ht="16" x14ac:dyDescent="0.2">
      <c r="A969" t="s">
        <v>1832</v>
      </c>
      <c r="B969" t="s">
        <v>1833</v>
      </c>
      <c r="C969" t="str">
        <f t="shared" si="76"/>
        <v>Santa Elena</v>
      </c>
      <c r="D969" t="str">
        <f t="shared" si="75"/>
        <v>Santa Elena</v>
      </c>
      <c r="E969" t="str">
        <f t="shared" si="77"/>
        <v>EC210354</v>
      </c>
      <c r="F969" t="str">
        <f>_xlfn.XLOOKUP(G969,ecu_admgz_adm2!D:D,ecu_admgz_adm2!C:C)</f>
        <v>Putumayo</v>
      </c>
      <c r="G969" t="str">
        <f t="shared" si="78"/>
        <v>EC2103</v>
      </c>
      <c r="H969" t="str">
        <f t="shared" si="79"/>
        <v>EC21</v>
      </c>
      <c r="I969" t="str">
        <f>_xlfn.XLOOKUP(H969,eci_admgz_adm1!D:D,eci_admgz_adm1!C:C)</f>
        <v>Sucumbíos</v>
      </c>
      <c r="J969" t="s">
        <v>2021</v>
      </c>
      <c r="K969" s="1" t="s">
        <v>2023</v>
      </c>
    </row>
    <row r="970" spans="1:11" ht="16" x14ac:dyDescent="0.2">
      <c r="A970" t="s">
        <v>1834</v>
      </c>
      <c r="B970" t="s">
        <v>1835</v>
      </c>
      <c r="C970" t="str">
        <f t="shared" si="76"/>
        <v>Sansahuari</v>
      </c>
      <c r="D970" t="str">
        <f t="shared" si="75"/>
        <v>Sansahuari</v>
      </c>
      <c r="E970" t="str">
        <f t="shared" si="77"/>
        <v>EC210355</v>
      </c>
      <c r="F970" t="str">
        <f>_xlfn.XLOOKUP(G970,ecu_admgz_adm2!D:D,ecu_admgz_adm2!C:C)</f>
        <v>Putumayo</v>
      </c>
      <c r="G970" t="str">
        <f t="shared" si="78"/>
        <v>EC2103</v>
      </c>
      <c r="H970" t="str">
        <f t="shared" si="79"/>
        <v>EC21</v>
      </c>
      <c r="I970" t="str">
        <f>_xlfn.XLOOKUP(H970,eci_admgz_adm1!D:D,eci_admgz_adm1!C:C)</f>
        <v>Sucumbíos</v>
      </c>
      <c r="J970" t="s">
        <v>2021</v>
      </c>
      <c r="K970" s="1" t="s">
        <v>2023</v>
      </c>
    </row>
    <row r="971" spans="1:11" ht="16" x14ac:dyDescent="0.2">
      <c r="A971" t="s">
        <v>1836</v>
      </c>
      <c r="B971" t="s">
        <v>1837</v>
      </c>
      <c r="C971" t="str">
        <f t="shared" si="76"/>
        <v>Shushufindi</v>
      </c>
      <c r="D971" t="str">
        <f t="shared" si="75"/>
        <v>Shushufindi</v>
      </c>
      <c r="E971" t="str">
        <f t="shared" si="77"/>
        <v>EC210450</v>
      </c>
      <c r="F971" t="str">
        <f>_xlfn.XLOOKUP(G971,ecu_admgz_adm2!D:D,ecu_admgz_adm2!C:C)</f>
        <v>Shushufindi</v>
      </c>
      <c r="G971" t="str">
        <f t="shared" si="78"/>
        <v>EC2104</v>
      </c>
      <c r="H971" t="str">
        <f t="shared" si="79"/>
        <v>EC21</v>
      </c>
      <c r="I971" t="str">
        <f>_xlfn.XLOOKUP(H971,eci_admgz_adm1!D:D,eci_admgz_adm1!C:C)</f>
        <v>Sucumbíos</v>
      </c>
      <c r="J971" t="s">
        <v>2021</v>
      </c>
      <c r="K971" s="1" t="s">
        <v>2023</v>
      </c>
    </row>
    <row r="972" spans="1:11" ht="16" x14ac:dyDescent="0.2">
      <c r="A972" t="s">
        <v>1838</v>
      </c>
      <c r="B972" t="s">
        <v>1839</v>
      </c>
      <c r="C972" t="str">
        <f t="shared" si="76"/>
        <v>Limoncocha</v>
      </c>
      <c r="D972" t="str">
        <f t="shared" si="75"/>
        <v>Limoncocha</v>
      </c>
      <c r="E972" t="str">
        <f t="shared" si="77"/>
        <v>EC210451</v>
      </c>
      <c r="F972" t="str">
        <f>_xlfn.XLOOKUP(G972,ecu_admgz_adm2!D:D,ecu_admgz_adm2!C:C)</f>
        <v>Shushufindi</v>
      </c>
      <c r="G972" t="str">
        <f t="shared" si="78"/>
        <v>EC2104</v>
      </c>
      <c r="H972" t="str">
        <f t="shared" si="79"/>
        <v>EC21</v>
      </c>
      <c r="I972" t="str">
        <f>_xlfn.XLOOKUP(H972,eci_admgz_adm1!D:D,eci_admgz_adm1!C:C)</f>
        <v>Sucumbíos</v>
      </c>
      <c r="J972" t="s">
        <v>2021</v>
      </c>
      <c r="K972" s="1" t="s">
        <v>2023</v>
      </c>
    </row>
    <row r="973" spans="1:11" ht="16" x14ac:dyDescent="0.2">
      <c r="A973" t="s">
        <v>1840</v>
      </c>
      <c r="B973" t="s">
        <v>1841</v>
      </c>
      <c r="C973" t="str">
        <f t="shared" si="76"/>
        <v>Pañacocha</v>
      </c>
      <c r="D973" t="str">
        <f t="shared" si="75"/>
        <v>Pañacocha</v>
      </c>
      <c r="E973" t="str">
        <f t="shared" si="77"/>
        <v>EC210452</v>
      </c>
      <c r="F973" t="str">
        <f>_xlfn.XLOOKUP(G973,ecu_admgz_adm2!D:D,ecu_admgz_adm2!C:C)</f>
        <v>Shushufindi</v>
      </c>
      <c r="G973" t="str">
        <f t="shared" si="78"/>
        <v>EC2104</v>
      </c>
      <c r="H973" t="str">
        <f t="shared" si="79"/>
        <v>EC21</v>
      </c>
      <c r="I973" t="str">
        <f>_xlfn.XLOOKUP(H973,eci_admgz_adm1!D:D,eci_admgz_adm1!C:C)</f>
        <v>Sucumbíos</v>
      </c>
      <c r="J973" t="s">
        <v>2021</v>
      </c>
      <c r="K973" s="1" t="s">
        <v>2023</v>
      </c>
    </row>
    <row r="974" spans="1:11" ht="16" x14ac:dyDescent="0.2">
      <c r="A974" t="s">
        <v>1842</v>
      </c>
      <c r="B974" t="s">
        <v>594</v>
      </c>
      <c r="C974" t="str">
        <f t="shared" si="76"/>
        <v>San Roque</v>
      </c>
      <c r="D974" t="str">
        <f t="shared" si="75"/>
        <v>San Roque</v>
      </c>
      <c r="E974" t="str">
        <f t="shared" si="77"/>
        <v>EC210453</v>
      </c>
      <c r="F974" t="str">
        <f>_xlfn.XLOOKUP(G974,ecu_admgz_adm2!D:D,ecu_admgz_adm2!C:C)</f>
        <v>Shushufindi</v>
      </c>
      <c r="G974" t="str">
        <f t="shared" si="78"/>
        <v>EC2104</v>
      </c>
      <c r="H974" t="str">
        <f t="shared" si="79"/>
        <v>EC21</v>
      </c>
      <c r="I974" t="str">
        <f>_xlfn.XLOOKUP(H974,eci_admgz_adm1!D:D,eci_admgz_adm1!C:C)</f>
        <v>Sucumbíos</v>
      </c>
      <c r="J974" t="s">
        <v>2021</v>
      </c>
      <c r="K974" s="1" t="s">
        <v>2023</v>
      </c>
    </row>
    <row r="975" spans="1:11" ht="16" x14ac:dyDescent="0.2">
      <c r="A975" t="s">
        <v>1843</v>
      </c>
      <c r="B975" t="s">
        <v>1844</v>
      </c>
      <c r="C975" t="str">
        <f t="shared" si="76"/>
        <v>San Pedro De Los Cofánes</v>
      </c>
      <c r="D975" t="str">
        <f t="shared" si="75"/>
        <v>San Pedro de los Cofánes</v>
      </c>
      <c r="E975" t="str">
        <f t="shared" si="77"/>
        <v>EC210454</v>
      </c>
      <c r="F975" t="str">
        <f>_xlfn.XLOOKUP(G975,ecu_admgz_adm2!D:D,ecu_admgz_adm2!C:C)</f>
        <v>Shushufindi</v>
      </c>
      <c r="G975" t="str">
        <f t="shared" si="78"/>
        <v>EC2104</v>
      </c>
      <c r="H975" t="str">
        <f t="shared" si="79"/>
        <v>EC21</v>
      </c>
      <c r="I975" t="str">
        <f>_xlfn.XLOOKUP(H975,eci_admgz_adm1!D:D,eci_admgz_adm1!C:C)</f>
        <v>Sucumbíos</v>
      </c>
      <c r="J975" t="s">
        <v>2021</v>
      </c>
      <c r="K975" s="1" t="s">
        <v>2023</v>
      </c>
    </row>
    <row r="976" spans="1:11" ht="16" x14ac:dyDescent="0.2">
      <c r="A976" t="s">
        <v>1845</v>
      </c>
      <c r="B976" t="s">
        <v>1846</v>
      </c>
      <c r="C976" t="str">
        <f t="shared" si="76"/>
        <v>Siete De Julio</v>
      </c>
      <c r="D976" t="str">
        <f t="shared" si="75"/>
        <v>Siete de Julio</v>
      </c>
      <c r="E976" t="str">
        <f t="shared" si="77"/>
        <v>EC210455</v>
      </c>
      <c r="F976" t="str">
        <f>_xlfn.XLOOKUP(G976,ecu_admgz_adm2!D:D,ecu_admgz_adm2!C:C)</f>
        <v>Shushufindi</v>
      </c>
      <c r="G976" t="str">
        <f t="shared" si="78"/>
        <v>EC2104</v>
      </c>
      <c r="H976" t="str">
        <f t="shared" si="79"/>
        <v>EC21</v>
      </c>
      <c r="I976" t="str">
        <f>_xlfn.XLOOKUP(H976,eci_admgz_adm1!D:D,eci_admgz_adm1!C:C)</f>
        <v>Sucumbíos</v>
      </c>
      <c r="J976" t="s">
        <v>2021</v>
      </c>
      <c r="K976" s="1" t="s">
        <v>2023</v>
      </c>
    </row>
    <row r="977" spans="1:11" ht="16" x14ac:dyDescent="0.2">
      <c r="A977" t="s">
        <v>1847</v>
      </c>
      <c r="B977" t="s">
        <v>1848</v>
      </c>
      <c r="C977" t="str">
        <f t="shared" si="76"/>
        <v>La Bonita</v>
      </c>
      <c r="D977" t="str">
        <f t="shared" si="75"/>
        <v>La Bonita</v>
      </c>
      <c r="E977" t="str">
        <f t="shared" si="77"/>
        <v>EC210550</v>
      </c>
      <c r="F977" t="str">
        <f>_xlfn.XLOOKUP(G977,ecu_admgz_adm2!D:D,ecu_admgz_adm2!C:C)</f>
        <v>Sucumbíos</v>
      </c>
      <c r="G977" t="str">
        <f t="shared" si="78"/>
        <v>EC2105</v>
      </c>
      <c r="H977" t="str">
        <f t="shared" si="79"/>
        <v>EC21</v>
      </c>
      <c r="I977" t="str">
        <f>_xlfn.XLOOKUP(H977,eci_admgz_adm1!D:D,eci_admgz_adm1!C:C)</f>
        <v>Sucumbíos</v>
      </c>
      <c r="J977" t="s">
        <v>2021</v>
      </c>
      <c r="K977" s="1" t="s">
        <v>2023</v>
      </c>
    </row>
    <row r="978" spans="1:11" ht="16" x14ac:dyDescent="0.2">
      <c r="A978" t="s">
        <v>1849</v>
      </c>
      <c r="B978" t="s">
        <v>1850</v>
      </c>
      <c r="C978" t="str">
        <f t="shared" si="76"/>
        <v>El Playón De San Francisco</v>
      </c>
      <c r="D978" t="str">
        <f t="shared" si="75"/>
        <v>El Playón de San Francisco</v>
      </c>
      <c r="E978" t="str">
        <f t="shared" si="77"/>
        <v>EC210551</v>
      </c>
      <c r="F978" t="str">
        <f>_xlfn.XLOOKUP(G978,ecu_admgz_adm2!D:D,ecu_admgz_adm2!C:C)</f>
        <v>Sucumbíos</v>
      </c>
      <c r="G978" t="str">
        <f t="shared" si="78"/>
        <v>EC2105</v>
      </c>
      <c r="H978" t="str">
        <f t="shared" si="79"/>
        <v>EC21</v>
      </c>
      <c r="I978" t="str">
        <f>_xlfn.XLOOKUP(H978,eci_admgz_adm1!D:D,eci_admgz_adm1!C:C)</f>
        <v>Sucumbíos</v>
      </c>
      <c r="J978" t="s">
        <v>2021</v>
      </c>
      <c r="K978" s="1" t="s">
        <v>2023</v>
      </c>
    </row>
    <row r="979" spans="1:11" ht="16" x14ac:dyDescent="0.2">
      <c r="A979" t="s">
        <v>1851</v>
      </c>
      <c r="B979" t="s">
        <v>1852</v>
      </c>
      <c r="C979" t="str">
        <f t="shared" si="76"/>
        <v>La Sofía</v>
      </c>
      <c r="D979" t="str">
        <f t="shared" si="75"/>
        <v>La Sofía</v>
      </c>
      <c r="E979" t="str">
        <f t="shared" si="77"/>
        <v>EC210552</v>
      </c>
      <c r="F979" t="str">
        <f>_xlfn.XLOOKUP(G979,ecu_admgz_adm2!D:D,ecu_admgz_adm2!C:C)</f>
        <v>Sucumbíos</v>
      </c>
      <c r="G979" t="str">
        <f t="shared" si="78"/>
        <v>EC2105</v>
      </c>
      <c r="H979" t="str">
        <f t="shared" si="79"/>
        <v>EC21</v>
      </c>
      <c r="I979" t="str">
        <f>_xlfn.XLOOKUP(H979,eci_admgz_adm1!D:D,eci_admgz_adm1!C:C)</f>
        <v>Sucumbíos</v>
      </c>
      <c r="J979" t="s">
        <v>2021</v>
      </c>
      <c r="K979" s="1" t="s">
        <v>2023</v>
      </c>
    </row>
    <row r="980" spans="1:11" ht="16" x14ac:dyDescent="0.2">
      <c r="A980" t="s">
        <v>1853</v>
      </c>
      <c r="B980" t="s">
        <v>1854</v>
      </c>
      <c r="C980" t="str">
        <f t="shared" si="76"/>
        <v>Rosa Florida</v>
      </c>
      <c r="D980" t="str">
        <f t="shared" si="75"/>
        <v>Rosa Florida</v>
      </c>
      <c r="E980" t="str">
        <f t="shared" si="77"/>
        <v>EC210553</v>
      </c>
      <c r="F980" t="str">
        <f>_xlfn.XLOOKUP(G980,ecu_admgz_adm2!D:D,ecu_admgz_adm2!C:C)</f>
        <v>Sucumbíos</v>
      </c>
      <c r="G980" t="str">
        <f t="shared" si="78"/>
        <v>EC2105</v>
      </c>
      <c r="H980" t="str">
        <f t="shared" si="79"/>
        <v>EC21</v>
      </c>
      <c r="I980" t="str">
        <f>_xlfn.XLOOKUP(H980,eci_admgz_adm1!D:D,eci_admgz_adm1!C:C)</f>
        <v>Sucumbíos</v>
      </c>
      <c r="J980" t="s">
        <v>2021</v>
      </c>
      <c r="K980" s="1" t="s">
        <v>2023</v>
      </c>
    </row>
    <row r="981" spans="1:11" ht="16" x14ac:dyDescent="0.2">
      <c r="A981" t="s">
        <v>1855</v>
      </c>
      <c r="B981" t="s">
        <v>1856</v>
      </c>
      <c r="C981" t="str">
        <f t="shared" si="76"/>
        <v>Santa Bárbara</v>
      </c>
      <c r="D981" t="str">
        <f t="shared" si="75"/>
        <v>Santa Bárbara</v>
      </c>
      <c r="E981" t="str">
        <f t="shared" si="77"/>
        <v>EC210554</v>
      </c>
      <c r="F981" t="str">
        <f>_xlfn.XLOOKUP(G981,ecu_admgz_adm2!D:D,ecu_admgz_adm2!C:C)</f>
        <v>Sucumbíos</v>
      </c>
      <c r="G981" t="str">
        <f t="shared" si="78"/>
        <v>EC2105</v>
      </c>
      <c r="H981" t="str">
        <f t="shared" si="79"/>
        <v>EC21</v>
      </c>
      <c r="I981" t="str">
        <f>_xlfn.XLOOKUP(H981,eci_admgz_adm1!D:D,eci_admgz_adm1!C:C)</f>
        <v>Sucumbíos</v>
      </c>
      <c r="J981" t="s">
        <v>2021</v>
      </c>
      <c r="K981" s="1" t="s">
        <v>2023</v>
      </c>
    </row>
    <row r="982" spans="1:11" ht="16" x14ac:dyDescent="0.2">
      <c r="A982" t="s">
        <v>1857</v>
      </c>
      <c r="B982" t="s">
        <v>1858</v>
      </c>
      <c r="C982" t="str">
        <f t="shared" si="76"/>
        <v>El Dorado De Cascales</v>
      </c>
      <c r="D982" t="str">
        <f t="shared" si="75"/>
        <v>El Dorado de Cascales</v>
      </c>
      <c r="E982" t="str">
        <f t="shared" si="77"/>
        <v>EC210650</v>
      </c>
      <c r="F982" t="str">
        <f>_xlfn.XLOOKUP(G982,ecu_admgz_adm2!D:D,ecu_admgz_adm2!C:C)</f>
        <v>Cascales</v>
      </c>
      <c r="G982" t="str">
        <f t="shared" si="78"/>
        <v>EC2106</v>
      </c>
      <c r="H982" t="str">
        <f t="shared" si="79"/>
        <v>EC21</v>
      </c>
      <c r="I982" t="str">
        <f>_xlfn.XLOOKUP(H982,eci_admgz_adm1!D:D,eci_admgz_adm1!C:C)</f>
        <v>Sucumbíos</v>
      </c>
      <c r="J982" t="s">
        <v>2021</v>
      </c>
      <c r="K982" s="1" t="s">
        <v>2023</v>
      </c>
    </row>
    <row r="983" spans="1:11" ht="16" x14ac:dyDescent="0.2">
      <c r="A983" t="s">
        <v>1859</v>
      </c>
      <c r="B983" t="s">
        <v>1860</v>
      </c>
      <c r="C983" t="str">
        <f t="shared" si="76"/>
        <v>Santa Rosa De Sucumbíos</v>
      </c>
      <c r="D983" t="str">
        <f t="shared" si="75"/>
        <v>Santa Rosa de Sucumbíos</v>
      </c>
      <c r="E983" t="str">
        <f t="shared" si="77"/>
        <v>EC210651</v>
      </c>
      <c r="F983" t="str">
        <f>_xlfn.XLOOKUP(G983,ecu_admgz_adm2!D:D,ecu_admgz_adm2!C:C)</f>
        <v>Cascales</v>
      </c>
      <c r="G983" t="str">
        <f t="shared" si="78"/>
        <v>EC2106</v>
      </c>
      <c r="H983" t="str">
        <f t="shared" si="79"/>
        <v>EC21</v>
      </c>
      <c r="I983" t="str">
        <f>_xlfn.XLOOKUP(H983,eci_admgz_adm1!D:D,eci_admgz_adm1!C:C)</f>
        <v>Sucumbíos</v>
      </c>
      <c r="J983" t="s">
        <v>2021</v>
      </c>
      <c r="K983" s="1" t="s">
        <v>2023</v>
      </c>
    </row>
    <row r="984" spans="1:11" ht="16" x14ac:dyDescent="0.2">
      <c r="A984" t="s">
        <v>1861</v>
      </c>
      <c r="B984" t="s">
        <v>451</v>
      </c>
      <c r="C984" t="str">
        <f t="shared" si="76"/>
        <v>Sevilla</v>
      </c>
      <c r="D984" t="str">
        <f t="shared" si="75"/>
        <v>Sevilla</v>
      </c>
      <c r="E984" t="str">
        <f t="shared" si="77"/>
        <v>EC210652</v>
      </c>
      <c r="F984" t="str">
        <f>_xlfn.XLOOKUP(G984,ecu_admgz_adm2!D:D,ecu_admgz_adm2!C:C)</f>
        <v>Cascales</v>
      </c>
      <c r="G984" t="str">
        <f t="shared" si="78"/>
        <v>EC2106</v>
      </c>
      <c r="H984" t="str">
        <f t="shared" si="79"/>
        <v>EC21</v>
      </c>
      <c r="I984" t="str">
        <f>_xlfn.XLOOKUP(H984,eci_admgz_adm1!D:D,eci_admgz_adm1!C:C)</f>
        <v>Sucumbíos</v>
      </c>
      <c r="J984" t="s">
        <v>2021</v>
      </c>
      <c r="K984" s="1" t="s">
        <v>2023</v>
      </c>
    </row>
    <row r="985" spans="1:11" ht="16" x14ac:dyDescent="0.2">
      <c r="A985" t="s">
        <v>1862</v>
      </c>
      <c r="B985" t="s">
        <v>1863</v>
      </c>
      <c r="C985" t="str">
        <f t="shared" si="76"/>
        <v>Nueva Troncal</v>
      </c>
      <c r="D985" t="str">
        <f t="shared" si="75"/>
        <v>Nueva Troncal</v>
      </c>
      <c r="E985" t="str">
        <f t="shared" si="77"/>
        <v>EC210653</v>
      </c>
      <c r="F985" t="str">
        <f>_xlfn.XLOOKUP(G985,ecu_admgz_adm2!D:D,ecu_admgz_adm2!C:C)</f>
        <v>Cascales</v>
      </c>
      <c r="G985" t="str">
        <f t="shared" si="78"/>
        <v>EC2106</v>
      </c>
      <c r="H985" t="str">
        <f t="shared" si="79"/>
        <v>EC21</v>
      </c>
      <c r="I985" t="str">
        <f>_xlfn.XLOOKUP(H985,eci_admgz_adm1!D:D,eci_admgz_adm1!C:C)</f>
        <v>Sucumbíos</v>
      </c>
      <c r="J985" t="s">
        <v>2021</v>
      </c>
      <c r="K985" s="1" t="s">
        <v>2023</v>
      </c>
    </row>
    <row r="986" spans="1:11" ht="16" x14ac:dyDescent="0.2">
      <c r="A986" t="s">
        <v>1864</v>
      </c>
      <c r="B986" t="s">
        <v>1865</v>
      </c>
      <c r="C986" t="str">
        <f t="shared" si="76"/>
        <v>Tarapoa</v>
      </c>
      <c r="D986" t="str">
        <f t="shared" si="75"/>
        <v>Tarapoa</v>
      </c>
      <c r="E986" t="str">
        <f t="shared" si="77"/>
        <v>EC210750</v>
      </c>
      <c r="F986" t="str">
        <f>_xlfn.XLOOKUP(G986,ecu_admgz_adm2!D:D,ecu_admgz_adm2!C:C)</f>
        <v>Cuyabeno</v>
      </c>
      <c r="G986" t="str">
        <f t="shared" si="78"/>
        <v>EC2107</v>
      </c>
      <c r="H986" t="str">
        <f t="shared" si="79"/>
        <v>EC21</v>
      </c>
      <c r="I986" t="str">
        <f>_xlfn.XLOOKUP(H986,eci_admgz_adm1!D:D,eci_admgz_adm1!C:C)</f>
        <v>Sucumbíos</v>
      </c>
      <c r="J986" t="s">
        <v>2021</v>
      </c>
      <c r="K986" s="1" t="s">
        <v>2023</v>
      </c>
    </row>
    <row r="987" spans="1:11" ht="16" x14ac:dyDescent="0.2">
      <c r="A987" t="s">
        <v>1867</v>
      </c>
      <c r="B987" t="s">
        <v>1866</v>
      </c>
      <c r="C987" t="str">
        <f t="shared" si="76"/>
        <v>Cuyabeno</v>
      </c>
      <c r="D987" t="str">
        <f t="shared" si="75"/>
        <v>Cuyabeno</v>
      </c>
      <c r="E987" t="str">
        <f t="shared" si="77"/>
        <v>EC210751</v>
      </c>
      <c r="F987" t="str">
        <f>_xlfn.XLOOKUP(G987,ecu_admgz_adm2!D:D,ecu_admgz_adm2!C:C)</f>
        <v>Cuyabeno</v>
      </c>
      <c r="G987" t="str">
        <f t="shared" si="78"/>
        <v>EC2107</v>
      </c>
      <c r="H987" t="str">
        <f t="shared" si="79"/>
        <v>EC21</v>
      </c>
      <c r="I987" t="str">
        <f>_xlfn.XLOOKUP(H987,eci_admgz_adm1!D:D,eci_admgz_adm1!C:C)</f>
        <v>Sucumbíos</v>
      </c>
      <c r="J987" t="s">
        <v>2021</v>
      </c>
      <c r="K987" s="1" t="s">
        <v>2023</v>
      </c>
    </row>
    <row r="988" spans="1:11" ht="16" x14ac:dyDescent="0.2">
      <c r="A988" t="s">
        <v>1868</v>
      </c>
      <c r="B988" t="s">
        <v>1869</v>
      </c>
      <c r="C988" t="str">
        <f t="shared" si="76"/>
        <v>Aguas Negras</v>
      </c>
      <c r="D988" t="str">
        <f t="shared" si="75"/>
        <v>Aguas Negras</v>
      </c>
      <c r="E988" t="str">
        <f t="shared" si="77"/>
        <v>EC210752</v>
      </c>
      <c r="F988" t="str">
        <f>_xlfn.XLOOKUP(G988,ecu_admgz_adm2!D:D,ecu_admgz_adm2!C:C)</f>
        <v>Cuyabeno</v>
      </c>
      <c r="G988" t="str">
        <f t="shared" si="78"/>
        <v>EC2107</v>
      </c>
      <c r="H988" t="str">
        <f t="shared" si="79"/>
        <v>EC21</v>
      </c>
      <c r="I988" t="str">
        <f>_xlfn.XLOOKUP(H988,eci_admgz_adm1!D:D,eci_admgz_adm1!C:C)</f>
        <v>Sucumbíos</v>
      </c>
      <c r="J988" t="s">
        <v>2021</v>
      </c>
      <c r="K988" s="1" t="s">
        <v>2023</v>
      </c>
    </row>
    <row r="989" spans="1:11" ht="16" x14ac:dyDescent="0.2">
      <c r="A989" t="s">
        <v>1870</v>
      </c>
      <c r="B989" t="s">
        <v>1871</v>
      </c>
      <c r="C989" t="str">
        <f t="shared" si="76"/>
        <v>El Coca</v>
      </c>
      <c r="D989" t="str">
        <f t="shared" si="75"/>
        <v>El Coca</v>
      </c>
      <c r="E989" t="str">
        <f t="shared" si="77"/>
        <v>EC220150</v>
      </c>
      <c r="F989" t="str">
        <f>_xlfn.XLOOKUP(G989,ecu_admgz_adm2!D:D,ecu_admgz_adm2!C:C)</f>
        <v>Francisco de Orellana</v>
      </c>
      <c r="G989" t="str">
        <f t="shared" si="78"/>
        <v>EC2201</v>
      </c>
      <c r="H989" t="str">
        <f t="shared" si="79"/>
        <v>EC22</v>
      </c>
      <c r="I989" t="str">
        <f>_xlfn.XLOOKUP(H989,eci_admgz_adm1!D:D,eci_admgz_adm1!C:C)</f>
        <v>Orellana</v>
      </c>
      <c r="J989" t="s">
        <v>2021</v>
      </c>
      <c r="K989" s="1" t="s">
        <v>2023</v>
      </c>
    </row>
    <row r="990" spans="1:11" ht="16" x14ac:dyDescent="0.2">
      <c r="A990" t="s">
        <v>1872</v>
      </c>
      <c r="B990" t="s">
        <v>1873</v>
      </c>
      <c r="C990" t="str">
        <f t="shared" si="76"/>
        <v>Dayuma</v>
      </c>
      <c r="D990" t="str">
        <f t="shared" si="75"/>
        <v>Dayuma</v>
      </c>
      <c r="E990" t="str">
        <f t="shared" si="77"/>
        <v>EC220151</v>
      </c>
      <c r="F990" t="str">
        <f>_xlfn.XLOOKUP(G990,ecu_admgz_adm2!D:D,ecu_admgz_adm2!C:C)</f>
        <v>Francisco de Orellana</v>
      </c>
      <c r="G990" t="str">
        <f t="shared" si="78"/>
        <v>EC2201</v>
      </c>
      <c r="H990" t="str">
        <f t="shared" si="79"/>
        <v>EC22</v>
      </c>
      <c r="I990" t="str">
        <f>_xlfn.XLOOKUP(H990,eci_admgz_adm1!D:D,eci_admgz_adm1!C:C)</f>
        <v>Orellana</v>
      </c>
      <c r="J990" t="s">
        <v>2021</v>
      </c>
      <c r="K990" s="1" t="s">
        <v>2023</v>
      </c>
    </row>
    <row r="991" spans="1:11" ht="16" x14ac:dyDescent="0.2">
      <c r="A991" t="s">
        <v>1874</v>
      </c>
      <c r="B991" t="s">
        <v>1875</v>
      </c>
      <c r="C991" t="str">
        <f t="shared" si="76"/>
        <v>Taracoa</v>
      </c>
      <c r="D991" t="str">
        <f t="shared" si="75"/>
        <v>Taracoa</v>
      </c>
      <c r="E991" t="str">
        <f t="shared" si="77"/>
        <v>EC220152</v>
      </c>
      <c r="F991" t="str">
        <f>_xlfn.XLOOKUP(G991,ecu_admgz_adm2!D:D,ecu_admgz_adm2!C:C)</f>
        <v>Francisco de Orellana</v>
      </c>
      <c r="G991" t="str">
        <f t="shared" si="78"/>
        <v>EC2201</v>
      </c>
      <c r="H991" t="str">
        <f t="shared" si="79"/>
        <v>EC22</v>
      </c>
      <c r="I991" t="str">
        <f>_xlfn.XLOOKUP(H991,eci_admgz_adm1!D:D,eci_admgz_adm1!C:C)</f>
        <v>Orellana</v>
      </c>
      <c r="J991" t="s">
        <v>2021</v>
      </c>
      <c r="K991" s="1" t="s">
        <v>2023</v>
      </c>
    </row>
    <row r="992" spans="1:11" ht="16" x14ac:dyDescent="0.2">
      <c r="A992" t="s">
        <v>1876</v>
      </c>
      <c r="B992" t="s">
        <v>1877</v>
      </c>
      <c r="C992" t="str">
        <f t="shared" si="76"/>
        <v>Alejandro Labaka</v>
      </c>
      <c r="D992" t="str">
        <f t="shared" si="75"/>
        <v>Alejandro Labaka</v>
      </c>
      <c r="E992" t="str">
        <f t="shared" si="77"/>
        <v>EC220153</v>
      </c>
      <c r="F992" t="str">
        <f>_xlfn.XLOOKUP(G992,ecu_admgz_adm2!D:D,ecu_admgz_adm2!C:C)</f>
        <v>Francisco de Orellana</v>
      </c>
      <c r="G992" t="str">
        <f t="shared" si="78"/>
        <v>EC2201</v>
      </c>
      <c r="H992" t="str">
        <f t="shared" si="79"/>
        <v>EC22</v>
      </c>
      <c r="I992" t="str">
        <f>_xlfn.XLOOKUP(H992,eci_admgz_adm1!D:D,eci_admgz_adm1!C:C)</f>
        <v>Orellana</v>
      </c>
      <c r="J992" t="s">
        <v>2021</v>
      </c>
      <c r="K992" s="1" t="s">
        <v>2023</v>
      </c>
    </row>
    <row r="993" spans="1:11" ht="16" x14ac:dyDescent="0.2">
      <c r="A993" t="s">
        <v>1878</v>
      </c>
      <c r="B993" t="s">
        <v>1879</v>
      </c>
      <c r="C993" t="str">
        <f t="shared" si="76"/>
        <v>El Dorado</v>
      </c>
      <c r="D993" t="str">
        <f t="shared" si="75"/>
        <v>El Dorado</v>
      </c>
      <c r="E993" t="str">
        <f t="shared" si="77"/>
        <v>EC220154</v>
      </c>
      <c r="F993" t="str">
        <f>_xlfn.XLOOKUP(G993,ecu_admgz_adm2!D:D,ecu_admgz_adm2!C:C)</f>
        <v>Francisco de Orellana</v>
      </c>
      <c r="G993" t="str">
        <f t="shared" si="78"/>
        <v>EC2201</v>
      </c>
      <c r="H993" t="str">
        <f t="shared" si="79"/>
        <v>EC22</v>
      </c>
      <c r="I993" t="str">
        <f>_xlfn.XLOOKUP(H993,eci_admgz_adm1!D:D,eci_admgz_adm1!C:C)</f>
        <v>Orellana</v>
      </c>
      <c r="J993" t="s">
        <v>2021</v>
      </c>
      <c r="K993" s="1" t="s">
        <v>2023</v>
      </c>
    </row>
    <row r="994" spans="1:11" ht="16" x14ac:dyDescent="0.2">
      <c r="A994" t="s">
        <v>1880</v>
      </c>
      <c r="B994" t="s">
        <v>1881</v>
      </c>
      <c r="C994" t="str">
        <f t="shared" si="76"/>
        <v>El Edén</v>
      </c>
      <c r="D994" t="str">
        <f t="shared" si="75"/>
        <v>El Edén</v>
      </c>
      <c r="E994" t="str">
        <f t="shared" si="77"/>
        <v>EC220155</v>
      </c>
      <c r="F994" t="str">
        <f>_xlfn.XLOOKUP(G994,ecu_admgz_adm2!D:D,ecu_admgz_adm2!C:C)</f>
        <v>Francisco de Orellana</v>
      </c>
      <c r="G994" t="str">
        <f t="shared" si="78"/>
        <v>EC2201</v>
      </c>
      <c r="H994" t="str">
        <f t="shared" si="79"/>
        <v>EC22</v>
      </c>
      <c r="I994" t="str">
        <f>_xlfn.XLOOKUP(H994,eci_admgz_adm1!D:D,eci_admgz_adm1!C:C)</f>
        <v>Orellana</v>
      </c>
      <c r="J994" t="s">
        <v>2021</v>
      </c>
      <c r="K994" s="1" t="s">
        <v>2023</v>
      </c>
    </row>
    <row r="995" spans="1:11" ht="16" x14ac:dyDescent="0.2">
      <c r="A995" t="s">
        <v>1882</v>
      </c>
      <c r="B995" t="s">
        <v>293</v>
      </c>
      <c r="C995" t="str">
        <f t="shared" si="76"/>
        <v>García Moreno</v>
      </c>
      <c r="D995" t="str">
        <f t="shared" si="75"/>
        <v>García Moreno</v>
      </c>
      <c r="E995" t="str">
        <f t="shared" si="77"/>
        <v>EC220156</v>
      </c>
      <c r="F995" t="str">
        <f>_xlfn.XLOOKUP(G995,ecu_admgz_adm2!D:D,ecu_admgz_adm2!C:C)</f>
        <v>Francisco de Orellana</v>
      </c>
      <c r="G995" t="str">
        <f t="shared" si="78"/>
        <v>EC2201</v>
      </c>
      <c r="H995" t="str">
        <f t="shared" si="79"/>
        <v>EC22</v>
      </c>
      <c r="I995" t="str">
        <f>_xlfn.XLOOKUP(H995,eci_admgz_adm1!D:D,eci_admgz_adm1!C:C)</f>
        <v>Orellana</v>
      </c>
      <c r="J995" t="s">
        <v>2021</v>
      </c>
      <c r="K995" s="1" t="s">
        <v>2023</v>
      </c>
    </row>
    <row r="996" spans="1:11" ht="16" x14ac:dyDescent="0.2">
      <c r="A996" t="s">
        <v>1883</v>
      </c>
      <c r="B996" t="s">
        <v>1884</v>
      </c>
      <c r="C996" t="str">
        <f t="shared" si="76"/>
        <v>Inés Arango</v>
      </c>
      <c r="D996" t="str">
        <f t="shared" si="75"/>
        <v>Inés Arango</v>
      </c>
      <c r="E996" t="str">
        <f t="shared" si="77"/>
        <v>EC220157</v>
      </c>
      <c r="F996" t="str">
        <f>_xlfn.XLOOKUP(G996,ecu_admgz_adm2!D:D,ecu_admgz_adm2!C:C)</f>
        <v>Francisco de Orellana</v>
      </c>
      <c r="G996" t="str">
        <f t="shared" si="78"/>
        <v>EC2201</v>
      </c>
      <c r="H996" t="str">
        <f t="shared" si="79"/>
        <v>EC22</v>
      </c>
      <c r="I996" t="str">
        <f>_xlfn.XLOOKUP(H996,eci_admgz_adm1!D:D,eci_admgz_adm1!C:C)</f>
        <v>Orellana</v>
      </c>
      <c r="J996" t="s">
        <v>2021</v>
      </c>
      <c r="K996" s="1" t="s">
        <v>2023</v>
      </c>
    </row>
    <row r="997" spans="1:11" ht="16" x14ac:dyDescent="0.2">
      <c r="A997" t="s">
        <v>1885</v>
      </c>
      <c r="B997" t="s">
        <v>1886</v>
      </c>
      <c r="C997" t="str">
        <f t="shared" si="76"/>
        <v>La Belleza</v>
      </c>
      <c r="D997" t="str">
        <f t="shared" si="75"/>
        <v>La Belleza</v>
      </c>
      <c r="E997" t="str">
        <f t="shared" si="77"/>
        <v>EC220158</v>
      </c>
      <c r="F997" t="str">
        <f>_xlfn.XLOOKUP(G997,ecu_admgz_adm2!D:D,ecu_admgz_adm2!C:C)</f>
        <v>Francisco de Orellana</v>
      </c>
      <c r="G997" t="str">
        <f t="shared" si="78"/>
        <v>EC2201</v>
      </c>
      <c r="H997" t="str">
        <f t="shared" si="79"/>
        <v>EC22</v>
      </c>
      <c r="I997" t="str">
        <f>_xlfn.XLOOKUP(H997,eci_admgz_adm1!D:D,eci_admgz_adm1!C:C)</f>
        <v>Orellana</v>
      </c>
      <c r="J997" t="s">
        <v>2021</v>
      </c>
      <c r="K997" s="1" t="s">
        <v>2023</v>
      </c>
    </row>
    <row r="998" spans="1:11" ht="16" x14ac:dyDescent="0.2">
      <c r="A998" t="s">
        <v>1887</v>
      </c>
      <c r="B998" t="s">
        <v>1744</v>
      </c>
      <c r="C998" t="str">
        <f t="shared" si="76"/>
        <v>Nuevo Paraíso</v>
      </c>
      <c r="D998" t="str">
        <f t="shared" si="75"/>
        <v>Nuevo Paraíso</v>
      </c>
      <c r="E998" t="str">
        <f t="shared" si="77"/>
        <v>EC220159</v>
      </c>
      <c r="F998" t="str">
        <f>_xlfn.XLOOKUP(G998,ecu_admgz_adm2!D:D,ecu_admgz_adm2!C:C)</f>
        <v>Francisco de Orellana</v>
      </c>
      <c r="G998" t="str">
        <f t="shared" si="78"/>
        <v>EC2201</v>
      </c>
      <c r="H998" t="str">
        <f t="shared" si="79"/>
        <v>EC22</v>
      </c>
      <c r="I998" t="str">
        <f>_xlfn.XLOOKUP(H998,eci_admgz_adm1!D:D,eci_admgz_adm1!C:C)</f>
        <v>Orellana</v>
      </c>
      <c r="J998" t="s">
        <v>2021</v>
      </c>
      <c r="K998" s="1" t="s">
        <v>2023</v>
      </c>
    </row>
    <row r="999" spans="1:11" ht="16" x14ac:dyDescent="0.2">
      <c r="A999" t="s">
        <v>1888</v>
      </c>
      <c r="B999" t="s">
        <v>1889</v>
      </c>
      <c r="C999" t="str">
        <f t="shared" si="76"/>
        <v>San José De Guayusa</v>
      </c>
      <c r="D999" t="str">
        <f t="shared" si="75"/>
        <v>San José de Guayusa</v>
      </c>
      <c r="E999" t="str">
        <f t="shared" si="77"/>
        <v>EC220160</v>
      </c>
      <c r="F999" t="str">
        <f>_xlfn.XLOOKUP(G999,ecu_admgz_adm2!D:D,ecu_admgz_adm2!C:C)</f>
        <v>Francisco de Orellana</v>
      </c>
      <c r="G999" t="str">
        <f t="shared" si="78"/>
        <v>EC2201</v>
      </c>
      <c r="H999" t="str">
        <f t="shared" si="79"/>
        <v>EC22</v>
      </c>
      <c r="I999" t="str">
        <f>_xlfn.XLOOKUP(H999,eci_admgz_adm1!D:D,eci_admgz_adm1!C:C)</f>
        <v>Orellana</v>
      </c>
      <c r="J999" t="s">
        <v>2021</v>
      </c>
      <c r="K999" s="1" t="s">
        <v>2023</v>
      </c>
    </row>
    <row r="1000" spans="1:11" ht="16" x14ac:dyDescent="0.2">
      <c r="A1000" t="s">
        <v>1890</v>
      </c>
      <c r="B1000" t="s">
        <v>1891</v>
      </c>
      <c r="C1000" t="str">
        <f t="shared" si="76"/>
        <v>San Luis De Armenia</v>
      </c>
      <c r="D1000" t="str">
        <f t="shared" si="75"/>
        <v>San Luis de Armenia</v>
      </c>
      <c r="E1000" t="str">
        <f t="shared" si="77"/>
        <v>EC220161</v>
      </c>
      <c r="F1000" t="str">
        <f>_xlfn.XLOOKUP(G1000,ecu_admgz_adm2!D:D,ecu_admgz_adm2!C:C)</f>
        <v>Francisco de Orellana</v>
      </c>
      <c r="G1000" t="str">
        <f t="shared" si="78"/>
        <v>EC2201</v>
      </c>
      <c r="H1000" t="str">
        <f t="shared" si="79"/>
        <v>EC22</v>
      </c>
      <c r="I1000" t="str">
        <f>_xlfn.XLOOKUP(H1000,eci_admgz_adm1!D:D,eci_admgz_adm1!C:C)</f>
        <v>Orellana</v>
      </c>
      <c r="J1000" t="s">
        <v>2021</v>
      </c>
      <c r="K1000" s="1" t="s">
        <v>2023</v>
      </c>
    </row>
    <row r="1001" spans="1:11" ht="16" x14ac:dyDescent="0.2">
      <c r="A1001" t="s">
        <v>1892</v>
      </c>
      <c r="B1001" t="s">
        <v>1893</v>
      </c>
      <c r="C1001" t="str">
        <f t="shared" si="76"/>
        <v>Nuevo Rocafuerte</v>
      </c>
      <c r="D1001" t="str">
        <f t="shared" si="75"/>
        <v>Nuevo Rocafuerte</v>
      </c>
      <c r="E1001" t="str">
        <f t="shared" si="77"/>
        <v>EC220250</v>
      </c>
      <c r="F1001" t="str">
        <f>_xlfn.XLOOKUP(G1001,ecu_admgz_adm2!D:D,ecu_admgz_adm2!C:C)</f>
        <v>Aguarico</v>
      </c>
      <c r="G1001" t="str">
        <f t="shared" si="78"/>
        <v>EC2202</v>
      </c>
      <c r="H1001" t="str">
        <f t="shared" si="79"/>
        <v>EC22</v>
      </c>
      <c r="I1001" t="str">
        <f>_xlfn.XLOOKUP(H1001,eci_admgz_adm1!D:D,eci_admgz_adm1!C:C)</f>
        <v>Orellana</v>
      </c>
      <c r="J1001" t="s">
        <v>2021</v>
      </c>
      <c r="K1001" s="1" t="s">
        <v>2023</v>
      </c>
    </row>
    <row r="1002" spans="1:11" ht="16" x14ac:dyDescent="0.2">
      <c r="A1002" t="s">
        <v>1894</v>
      </c>
      <c r="B1002" t="s">
        <v>1895</v>
      </c>
      <c r="C1002" t="str">
        <f t="shared" si="76"/>
        <v>Capitán Augusto Rivadeneyra</v>
      </c>
      <c r="D1002" t="str">
        <f t="shared" si="75"/>
        <v>Capitán Augusto Rivadeneyra</v>
      </c>
      <c r="E1002" t="str">
        <f t="shared" si="77"/>
        <v>EC220251</v>
      </c>
      <c r="F1002" t="str">
        <f>_xlfn.XLOOKUP(G1002,ecu_admgz_adm2!D:D,ecu_admgz_adm2!C:C)</f>
        <v>Aguarico</v>
      </c>
      <c r="G1002" t="str">
        <f t="shared" si="78"/>
        <v>EC2202</v>
      </c>
      <c r="H1002" t="str">
        <f t="shared" si="79"/>
        <v>EC22</v>
      </c>
      <c r="I1002" t="str">
        <f>_xlfn.XLOOKUP(H1002,eci_admgz_adm1!D:D,eci_admgz_adm1!C:C)</f>
        <v>Orellana</v>
      </c>
      <c r="J1002" t="s">
        <v>2021</v>
      </c>
      <c r="K1002" s="1" t="s">
        <v>2023</v>
      </c>
    </row>
    <row r="1003" spans="1:11" ht="16" x14ac:dyDescent="0.2">
      <c r="A1003" t="s">
        <v>1896</v>
      </c>
      <c r="B1003" t="s">
        <v>1897</v>
      </c>
      <c r="C1003" t="str">
        <f t="shared" si="76"/>
        <v>Cononaco</v>
      </c>
      <c r="D1003" t="str">
        <f t="shared" si="75"/>
        <v>Cononaco</v>
      </c>
      <c r="E1003" t="str">
        <f t="shared" si="77"/>
        <v>EC220252</v>
      </c>
      <c r="F1003" t="str">
        <f>_xlfn.XLOOKUP(G1003,ecu_admgz_adm2!D:D,ecu_admgz_adm2!C:C)</f>
        <v>Aguarico</v>
      </c>
      <c r="G1003" t="str">
        <f t="shared" si="78"/>
        <v>EC2202</v>
      </c>
      <c r="H1003" t="str">
        <f t="shared" si="79"/>
        <v>EC22</v>
      </c>
      <c r="I1003" t="str">
        <f>_xlfn.XLOOKUP(H1003,eci_admgz_adm1!D:D,eci_admgz_adm1!C:C)</f>
        <v>Orellana</v>
      </c>
      <c r="J1003" t="s">
        <v>2021</v>
      </c>
      <c r="K1003" s="1" t="s">
        <v>2023</v>
      </c>
    </row>
    <row r="1004" spans="1:11" ht="16" x14ac:dyDescent="0.2">
      <c r="A1004" t="s">
        <v>1898</v>
      </c>
      <c r="B1004" t="s">
        <v>1899</v>
      </c>
      <c r="C1004" t="str">
        <f t="shared" si="76"/>
        <v>Santa María De Huiririma</v>
      </c>
      <c r="D1004" t="str">
        <f t="shared" si="75"/>
        <v>Santa María de Huiririma</v>
      </c>
      <c r="E1004" t="str">
        <f t="shared" si="77"/>
        <v>EC220253</v>
      </c>
      <c r="F1004" t="str">
        <f>_xlfn.XLOOKUP(G1004,ecu_admgz_adm2!D:D,ecu_admgz_adm2!C:C)</f>
        <v>Aguarico</v>
      </c>
      <c r="G1004" t="str">
        <f t="shared" si="78"/>
        <v>EC2202</v>
      </c>
      <c r="H1004" t="str">
        <f t="shared" si="79"/>
        <v>EC22</v>
      </c>
      <c r="I1004" t="str">
        <f>_xlfn.XLOOKUP(H1004,eci_admgz_adm1!D:D,eci_admgz_adm1!C:C)</f>
        <v>Orellana</v>
      </c>
      <c r="J1004" t="s">
        <v>2021</v>
      </c>
      <c r="K1004" s="1" t="s">
        <v>2023</v>
      </c>
    </row>
    <row r="1005" spans="1:11" ht="16" x14ac:dyDescent="0.2">
      <c r="A1005" t="s">
        <v>1900</v>
      </c>
      <c r="B1005" t="s">
        <v>1901</v>
      </c>
      <c r="C1005" t="str">
        <f t="shared" si="76"/>
        <v>Yasuní</v>
      </c>
      <c r="D1005" t="str">
        <f t="shared" si="75"/>
        <v>Yasuní</v>
      </c>
      <c r="E1005" t="str">
        <f t="shared" si="77"/>
        <v>EC220255</v>
      </c>
      <c r="F1005" t="str">
        <f>_xlfn.XLOOKUP(G1005,ecu_admgz_adm2!D:D,ecu_admgz_adm2!C:C)</f>
        <v>Aguarico</v>
      </c>
      <c r="G1005" t="str">
        <f t="shared" si="78"/>
        <v>EC2202</v>
      </c>
      <c r="H1005" t="str">
        <f t="shared" si="79"/>
        <v>EC22</v>
      </c>
      <c r="I1005" t="str">
        <f>_xlfn.XLOOKUP(H1005,eci_admgz_adm1!D:D,eci_admgz_adm1!C:C)</f>
        <v>Orellana</v>
      </c>
      <c r="J1005" t="s">
        <v>2021</v>
      </c>
      <c r="K1005" s="1" t="s">
        <v>2023</v>
      </c>
    </row>
    <row r="1006" spans="1:11" ht="16" x14ac:dyDescent="0.2">
      <c r="A1006" t="s">
        <v>1902</v>
      </c>
      <c r="B1006" t="s">
        <v>1903</v>
      </c>
      <c r="C1006" t="str">
        <f t="shared" si="76"/>
        <v>La Joya De Los Sachas</v>
      </c>
      <c r="D1006" t="str">
        <f t="shared" si="75"/>
        <v>La Joya de los Sachas</v>
      </c>
      <c r="E1006" t="str">
        <f t="shared" si="77"/>
        <v>EC220350</v>
      </c>
      <c r="F1006" t="str">
        <f>_xlfn.XLOOKUP(G1006,ecu_admgz_adm2!D:D,ecu_admgz_adm2!C:C)</f>
        <v>La Joya de los Sachas</v>
      </c>
      <c r="G1006" t="str">
        <f t="shared" si="78"/>
        <v>EC2203</v>
      </c>
      <c r="H1006" t="str">
        <f t="shared" si="79"/>
        <v>EC22</v>
      </c>
      <c r="I1006" t="str">
        <f>_xlfn.XLOOKUP(H1006,eci_admgz_adm1!D:D,eci_admgz_adm1!C:C)</f>
        <v>Orellana</v>
      </c>
      <c r="J1006" t="s">
        <v>2021</v>
      </c>
      <c r="K1006" s="1" t="s">
        <v>2023</v>
      </c>
    </row>
    <row r="1007" spans="1:11" ht="16" x14ac:dyDescent="0.2">
      <c r="A1007" t="s">
        <v>1904</v>
      </c>
      <c r="B1007" t="s">
        <v>1905</v>
      </c>
      <c r="C1007" t="str">
        <f t="shared" si="76"/>
        <v>Enokanqui</v>
      </c>
      <c r="D1007" t="str">
        <f t="shared" si="75"/>
        <v>enokanqui</v>
      </c>
      <c r="E1007" t="str">
        <f t="shared" si="77"/>
        <v>EC220351</v>
      </c>
      <c r="F1007" t="str">
        <f>_xlfn.XLOOKUP(G1007,ecu_admgz_adm2!D:D,ecu_admgz_adm2!C:C)</f>
        <v>La Joya de los Sachas</v>
      </c>
      <c r="G1007" t="str">
        <f t="shared" si="78"/>
        <v>EC2203</v>
      </c>
      <c r="H1007" t="str">
        <f t="shared" si="79"/>
        <v>EC22</v>
      </c>
      <c r="I1007" t="str">
        <f>_xlfn.XLOOKUP(H1007,eci_admgz_adm1!D:D,eci_admgz_adm1!C:C)</f>
        <v>Orellana</v>
      </c>
      <c r="J1007" t="s">
        <v>2021</v>
      </c>
      <c r="K1007" s="1" t="s">
        <v>2023</v>
      </c>
    </row>
    <row r="1008" spans="1:11" ht="16" x14ac:dyDescent="0.2">
      <c r="A1008" t="s">
        <v>1906</v>
      </c>
      <c r="B1008" t="s">
        <v>1907</v>
      </c>
      <c r="C1008" t="str">
        <f t="shared" si="76"/>
        <v>Pompeya</v>
      </c>
      <c r="D1008" t="str">
        <f t="shared" si="75"/>
        <v>Pompeya</v>
      </c>
      <c r="E1008" t="str">
        <f t="shared" si="77"/>
        <v>EC220352</v>
      </c>
      <c r="F1008" t="str">
        <f>_xlfn.XLOOKUP(G1008,ecu_admgz_adm2!D:D,ecu_admgz_adm2!C:C)</f>
        <v>La Joya de los Sachas</v>
      </c>
      <c r="G1008" t="str">
        <f t="shared" si="78"/>
        <v>EC2203</v>
      </c>
      <c r="H1008" t="str">
        <f t="shared" si="79"/>
        <v>EC22</v>
      </c>
      <c r="I1008" t="str">
        <f>_xlfn.XLOOKUP(H1008,eci_admgz_adm1!D:D,eci_admgz_adm1!C:C)</f>
        <v>Orellana</v>
      </c>
      <c r="J1008" t="s">
        <v>2021</v>
      </c>
      <c r="K1008" s="1" t="s">
        <v>2023</v>
      </c>
    </row>
    <row r="1009" spans="1:11" ht="16" x14ac:dyDescent="0.2">
      <c r="A1009" t="s">
        <v>1908</v>
      </c>
      <c r="B1009" t="s">
        <v>816</v>
      </c>
      <c r="C1009" t="str">
        <f t="shared" si="76"/>
        <v>San Carlos</v>
      </c>
      <c r="D1009" t="str">
        <f t="shared" si="75"/>
        <v>San Carlos</v>
      </c>
      <c r="E1009" t="str">
        <f t="shared" si="77"/>
        <v>EC220353</v>
      </c>
      <c r="F1009" t="str">
        <f>_xlfn.XLOOKUP(G1009,ecu_admgz_adm2!D:D,ecu_admgz_adm2!C:C)</f>
        <v>La Joya de los Sachas</v>
      </c>
      <c r="G1009" t="str">
        <f t="shared" si="78"/>
        <v>EC2203</v>
      </c>
      <c r="H1009" t="str">
        <f t="shared" si="79"/>
        <v>EC22</v>
      </c>
      <c r="I1009" t="str">
        <f>_xlfn.XLOOKUP(H1009,eci_admgz_adm1!D:D,eci_admgz_adm1!C:C)</f>
        <v>Orellana</v>
      </c>
      <c r="J1009" t="s">
        <v>2021</v>
      </c>
      <c r="K1009" s="1" t="s">
        <v>2023</v>
      </c>
    </row>
    <row r="1010" spans="1:11" ht="16" x14ac:dyDescent="0.2">
      <c r="A1010" t="s">
        <v>1909</v>
      </c>
      <c r="B1010" t="s">
        <v>1910</v>
      </c>
      <c r="C1010" t="str">
        <f t="shared" si="76"/>
        <v>San Sebastián Del Coca</v>
      </c>
      <c r="D1010" t="str">
        <f t="shared" si="75"/>
        <v>San Sebastián del Coca</v>
      </c>
      <c r="E1010" t="str">
        <f t="shared" si="77"/>
        <v>EC220354</v>
      </c>
      <c r="F1010" t="str">
        <f>_xlfn.XLOOKUP(G1010,ecu_admgz_adm2!D:D,ecu_admgz_adm2!C:C)</f>
        <v>La Joya de los Sachas</v>
      </c>
      <c r="G1010" t="str">
        <f t="shared" si="78"/>
        <v>EC2203</v>
      </c>
      <c r="H1010" t="str">
        <f t="shared" si="79"/>
        <v>EC22</v>
      </c>
      <c r="I1010" t="str">
        <f>_xlfn.XLOOKUP(H1010,eci_admgz_adm1!D:D,eci_admgz_adm1!C:C)</f>
        <v>Orellana</v>
      </c>
      <c r="J1010" t="s">
        <v>2021</v>
      </c>
      <c r="K1010" s="1" t="s">
        <v>2023</v>
      </c>
    </row>
    <row r="1011" spans="1:11" ht="16" x14ac:dyDescent="0.2">
      <c r="A1011" t="s">
        <v>1911</v>
      </c>
      <c r="B1011" t="s">
        <v>1912</v>
      </c>
      <c r="C1011" t="str">
        <f t="shared" si="76"/>
        <v>Lago San Pedro</v>
      </c>
      <c r="D1011" t="str">
        <f t="shared" si="75"/>
        <v>Lago San Pedro</v>
      </c>
      <c r="E1011" t="str">
        <f t="shared" si="77"/>
        <v>EC220355</v>
      </c>
      <c r="F1011" t="str">
        <f>_xlfn.XLOOKUP(G1011,ecu_admgz_adm2!D:D,ecu_admgz_adm2!C:C)</f>
        <v>La Joya de los Sachas</v>
      </c>
      <c r="G1011" t="str">
        <f t="shared" si="78"/>
        <v>EC2203</v>
      </c>
      <c r="H1011" t="str">
        <f t="shared" si="79"/>
        <v>EC22</v>
      </c>
      <c r="I1011" t="str">
        <f>_xlfn.XLOOKUP(H1011,eci_admgz_adm1!D:D,eci_admgz_adm1!C:C)</f>
        <v>Orellana</v>
      </c>
      <c r="J1011" t="s">
        <v>2021</v>
      </c>
      <c r="K1011" s="1" t="s">
        <v>2023</v>
      </c>
    </row>
    <row r="1012" spans="1:11" ht="16" x14ac:dyDescent="0.2">
      <c r="A1012" t="s">
        <v>1913</v>
      </c>
      <c r="B1012" t="s">
        <v>1613</v>
      </c>
      <c r="C1012" t="str">
        <f t="shared" si="76"/>
        <v>Rumipamba</v>
      </c>
      <c r="D1012" t="str">
        <f t="shared" si="75"/>
        <v>Rumipamba</v>
      </c>
      <c r="E1012" t="str">
        <f t="shared" si="77"/>
        <v>EC220356</v>
      </c>
      <c r="F1012" t="str">
        <f>_xlfn.XLOOKUP(G1012,ecu_admgz_adm2!D:D,ecu_admgz_adm2!C:C)</f>
        <v>La Joya de los Sachas</v>
      </c>
      <c r="G1012" t="str">
        <f t="shared" si="78"/>
        <v>EC2203</v>
      </c>
      <c r="H1012" t="str">
        <f t="shared" si="79"/>
        <v>EC22</v>
      </c>
      <c r="I1012" t="str">
        <f>_xlfn.XLOOKUP(H1012,eci_admgz_adm1!D:D,eci_admgz_adm1!C:C)</f>
        <v>Orellana</v>
      </c>
      <c r="J1012" t="s">
        <v>2021</v>
      </c>
      <c r="K1012" s="1" t="s">
        <v>2023</v>
      </c>
    </row>
    <row r="1013" spans="1:11" ht="16" x14ac:dyDescent="0.2">
      <c r="A1013" t="s">
        <v>1914</v>
      </c>
      <c r="B1013" t="s">
        <v>1915</v>
      </c>
      <c r="C1013" t="str">
        <f t="shared" si="76"/>
        <v>Tres De Noviembre</v>
      </c>
      <c r="D1013" t="str">
        <f t="shared" si="75"/>
        <v>Tres de Noviembre</v>
      </c>
      <c r="E1013" t="str">
        <f t="shared" si="77"/>
        <v>EC220357</v>
      </c>
      <c r="F1013" t="str">
        <f>_xlfn.XLOOKUP(G1013,ecu_admgz_adm2!D:D,ecu_admgz_adm2!C:C)</f>
        <v>La Joya de los Sachas</v>
      </c>
      <c r="G1013" t="str">
        <f t="shared" si="78"/>
        <v>EC2203</v>
      </c>
      <c r="H1013" t="str">
        <f t="shared" si="79"/>
        <v>EC22</v>
      </c>
      <c r="I1013" t="str">
        <f>_xlfn.XLOOKUP(H1013,eci_admgz_adm1!D:D,eci_admgz_adm1!C:C)</f>
        <v>Orellana</v>
      </c>
      <c r="J1013" t="s">
        <v>2021</v>
      </c>
      <c r="K1013" s="1" t="s">
        <v>2023</v>
      </c>
    </row>
    <row r="1014" spans="1:11" ht="16" x14ac:dyDescent="0.2">
      <c r="A1014" t="s">
        <v>1916</v>
      </c>
      <c r="B1014" t="s">
        <v>1917</v>
      </c>
      <c r="C1014" t="str">
        <f t="shared" si="76"/>
        <v>Unión Milagreña</v>
      </c>
      <c r="D1014" t="str">
        <f t="shared" si="75"/>
        <v>Unión Milagreña</v>
      </c>
      <c r="E1014" t="str">
        <f t="shared" si="77"/>
        <v>EC220358</v>
      </c>
      <c r="F1014" t="str">
        <f>_xlfn.XLOOKUP(G1014,ecu_admgz_adm2!D:D,ecu_admgz_adm2!C:C)</f>
        <v>La Joya de los Sachas</v>
      </c>
      <c r="G1014" t="str">
        <f t="shared" si="78"/>
        <v>EC2203</v>
      </c>
      <c r="H1014" t="str">
        <f t="shared" si="79"/>
        <v>EC22</v>
      </c>
      <c r="I1014" t="str">
        <f>_xlfn.XLOOKUP(H1014,eci_admgz_adm1!D:D,eci_admgz_adm1!C:C)</f>
        <v>Orellana</v>
      </c>
      <c r="J1014" t="s">
        <v>2021</v>
      </c>
      <c r="K1014" s="1" t="s">
        <v>2023</v>
      </c>
    </row>
    <row r="1015" spans="1:11" ht="16" x14ac:dyDescent="0.2">
      <c r="A1015" t="s">
        <v>1918</v>
      </c>
      <c r="B1015" t="s">
        <v>1919</v>
      </c>
      <c r="C1015" t="str">
        <f t="shared" si="76"/>
        <v>Loreto</v>
      </c>
      <c r="D1015" t="str">
        <f t="shared" si="75"/>
        <v>Loreto</v>
      </c>
      <c r="E1015" t="str">
        <f t="shared" si="77"/>
        <v>EC220450</v>
      </c>
      <c r="F1015" t="str">
        <f>_xlfn.XLOOKUP(G1015,ecu_admgz_adm2!D:D,ecu_admgz_adm2!C:C)</f>
        <v>Loreto</v>
      </c>
      <c r="G1015" t="str">
        <f t="shared" si="78"/>
        <v>EC2204</v>
      </c>
      <c r="H1015" t="str">
        <f t="shared" si="79"/>
        <v>EC22</v>
      </c>
      <c r="I1015" t="str">
        <f>_xlfn.XLOOKUP(H1015,eci_admgz_adm1!D:D,eci_admgz_adm1!C:C)</f>
        <v>Orellana</v>
      </c>
      <c r="J1015" t="s">
        <v>2021</v>
      </c>
      <c r="K1015" s="1" t="s">
        <v>2023</v>
      </c>
    </row>
    <row r="1016" spans="1:11" ht="16" x14ac:dyDescent="0.2">
      <c r="A1016" t="s">
        <v>1920</v>
      </c>
      <c r="B1016" t="s">
        <v>1921</v>
      </c>
      <c r="C1016" t="str">
        <f t="shared" si="76"/>
        <v>Ávila</v>
      </c>
      <c r="D1016" t="str">
        <f t="shared" si="75"/>
        <v>Ávila</v>
      </c>
      <c r="E1016" t="str">
        <f t="shared" si="77"/>
        <v>EC220451</v>
      </c>
      <c r="F1016" t="str">
        <f>_xlfn.XLOOKUP(G1016,ecu_admgz_adm2!D:D,ecu_admgz_adm2!C:C)</f>
        <v>Loreto</v>
      </c>
      <c r="G1016" t="str">
        <f t="shared" si="78"/>
        <v>EC2204</v>
      </c>
      <c r="H1016" t="str">
        <f t="shared" si="79"/>
        <v>EC22</v>
      </c>
      <c r="I1016" t="str">
        <f>_xlfn.XLOOKUP(H1016,eci_admgz_adm1!D:D,eci_admgz_adm1!C:C)</f>
        <v>Orellana</v>
      </c>
      <c r="J1016" t="s">
        <v>2021</v>
      </c>
      <c r="K1016" s="1" t="s">
        <v>2023</v>
      </c>
    </row>
    <row r="1017" spans="1:11" ht="16" x14ac:dyDescent="0.2">
      <c r="A1017" t="s">
        <v>1922</v>
      </c>
      <c r="B1017" t="s">
        <v>1923</v>
      </c>
      <c r="C1017" t="str">
        <f t="shared" si="76"/>
        <v>Puerto Murialdo</v>
      </c>
      <c r="D1017" t="str">
        <f t="shared" si="75"/>
        <v>Puerto Murialdo</v>
      </c>
      <c r="E1017" t="str">
        <f t="shared" si="77"/>
        <v>EC220452</v>
      </c>
      <c r="F1017" t="str">
        <f>_xlfn.XLOOKUP(G1017,ecu_admgz_adm2!D:D,ecu_admgz_adm2!C:C)</f>
        <v>Loreto</v>
      </c>
      <c r="G1017" t="str">
        <f t="shared" si="78"/>
        <v>EC2204</v>
      </c>
      <c r="H1017" t="str">
        <f t="shared" si="79"/>
        <v>EC22</v>
      </c>
      <c r="I1017" t="str">
        <f>_xlfn.XLOOKUP(H1017,eci_admgz_adm1!D:D,eci_admgz_adm1!C:C)</f>
        <v>Orellana</v>
      </c>
      <c r="J1017" t="s">
        <v>2021</v>
      </c>
      <c r="K1017" s="1" t="s">
        <v>2023</v>
      </c>
    </row>
    <row r="1018" spans="1:11" ht="16" x14ac:dyDescent="0.2">
      <c r="A1018" t="s">
        <v>1924</v>
      </c>
      <c r="B1018" t="s">
        <v>1925</v>
      </c>
      <c r="C1018" t="str">
        <f t="shared" si="76"/>
        <v>San José De Payamino</v>
      </c>
      <c r="D1018" t="str">
        <f t="shared" si="75"/>
        <v>San José de Payamino</v>
      </c>
      <c r="E1018" t="str">
        <f t="shared" si="77"/>
        <v>EC220453</v>
      </c>
      <c r="F1018" t="str">
        <f>_xlfn.XLOOKUP(G1018,ecu_admgz_adm2!D:D,ecu_admgz_adm2!C:C)</f>
        <v>Loreto</v>
      </c>
      <c r="G1018" t="str">
        <f t="shared" si="78"/>
        <v>EC2204</v>
      </c>
      <c r="H1018" t="str">
        <f t="shared" si="79"/>
        <v>EC22</v>
      </c>
      <c r="I1018" t="str">
        <f>_xlfn.XLOOKUP(H1018,eci_admgz_adm1!D:D,eci_admgz_adm1!C:C)</f>
        <v>Orellana</v>
      </c>
      <c r="J1018" t="s">
        <v>2021</v>
      </c>
      <c r="K1018" s="1" t="s">
        <v>2023</v>
      </c>
    </row>
    <row r="1019" spans="1:11" ht="16" x14ac:dyDescent="0.2">
      <c r="A1019" t="s">
        <v>1926</v>
      </c>
      <c r="B1019" t="s">
        <v>1927</v>
      </c>
      <c r="C1019" t="str">
        <f t="shared" si="76"/>
        <v>San José De Dahuano</v>
      </c>
      <c r="D1019" t="str">
        <f t="shared" si="75"/>
        <v>San José de Dahuano</v>
      </c>
      <c r="E1019" t="str">
        <f t="shared" si="77"/>
        <v>EC220454</v>
      </c>
      <c r="F1019" t="str">
        <f>_xlfn.XLOOKUP(G1019,ecu_admgz_adm2!D:D,ecu_admgz_adm2!C:C)</f>
        <v>Loreto</v>
      </c>
      <c r="G1019" t="str">
        <f t="shared" si="78"/>
        <v>EC2204</v>
      </c>
      <c r="H1019" t="str">
        <f t="shared" si="79"/>
        <v>EC22</v>
      </c>
      <c r="I1019" t="str">
        <f>_xlfn.XLOOKUP(H1019,eci_admgz_adm1!D:D,eci_admgz_adm1!C:C)</f>
        <v>Orellana</v>
      </c>
      <c r="J1019" t="s">
        <v>2021</v>
      </c>
      <c r="K1019" s="1" t="s">
        <v>2023</v>
      </c>
    </row>
    <row r="1020" spans="1:11" ht="16" x14ac:dyDescent="0.2">
      <c r="A1020" t="s">
        <v>1928</v>
      </c>
      <c r="B1020" t="s">
        <v>1929</v>
      </c>
      <c r="C1020" t="str">
        <f t="shared" si="76"/>
        <v>San Vicente De Huaticocha</v>
      </c>
      <c r="D1020" t="str">
        <f t="shared" si="75"/>
        <v>San Vicente de Huaticocha</v>
      </c>
      <c r="E1020" t="str">
        <f t="shared" si="77"/>
        <v>EC220455</v>
      </c>
      <c r="F1020" t="str">
        <f>_xlfn.XLOOKUP(G1020,ecu_admgz_adm2!D:D,ecu_admgz_adm2!C:C)</f>
        <v>Loreto</v>
      </c>
      <c r="G1020" t="str">
        <f t="shared" si="78"/>
        <v>EC2204</v>
      </c>
      <c r="H1020" t="str">
        <f t="shared" si="79"/>
        <v>EC22</v>
      </c>
      <c r="I1020" t="str">
        <f>_xlfn.XLOOKUP(H1020,eci_admgz_adm1!D:D,eci_admgz_adm1!C:C)</f>
        <v>Orellana</v>
      </c>
      <c r="J1020" t="s">
        <v>2021</v>
      </c>
      <c r="K1020" s="1" t="s">
        <v>2023</v>
      </c>
    </row>
    <row r="1021" spans="1:11" ht="16" x14ac:dyDescent="0.2">
      <c r="A1021" t="s">
        <v>1930</v>
      </c>
      <c r="B1021" t="s">
        <v>1931</v>
      </c>
      <c r="C1021" t="str">
        <f t="shared" si="76"/>
        <v>Santo Domingo De Los Colorados</v>
      </c>
      <c r="D1021" t="str">
        <f t="shared" si="75"/>
        <v>Santo Domingo de los Colorados</v>
      </c>
      <c r="E1021" t="str">
        <f t="shared" si="77"/>
        <v>EC230150</v>
      </c>
      <c r="F1021" t="str">
        <f>_xlfn.XLOOKUP(G1021,ecu_admgz_adm2!D:D,ecu_admgz_adm2!C:C)</f>
        <v>Santo Domingo</v>
      </c>
      <c r="G1021" t="str">
        <f t="shared" si="78"/>
        <v>EC2301</v>
      </c>
      <c r="H1021" t="str">
        <f t="shared" si="79"/>
        <v>EC23</v>
      </c>
      <c r="I1021" t="str">
        <f>_xlfn.XLOOKUP(H1021,eci_admgz_adm1!D:D,eci_admgz_adm1!C:C)</f>
        <v>Santo Domingo de los Tsáchilas</v>
      </c>
      <c r="J1021" t="s">
        <v>2021</v>
      </c>
      <c r="K1021" s="1" t="s">
        <v>2023</v>
      </c>
    </row>
    <row r="1022" spans="1:11" ht="16" x14ac:dyDescent="0.2">
      <c r="A1022" t="s">
        <v>1932</v>
      </c>
      <c r="B1022" t="s">
        <v>1933</v>
      </c>
      <c r="C1022" t="str">
        <f t="shared" si="76"/>
        <v>Alluriquín</v>
      </c>
      <c r="D1022" t="str">
        <f t="shared" si="75"/>
        <v>Alluriquín</v>
      </c>
      <c r="E1022" t="str">
        <f t="shared" si="77"/>
        <v>EC230151</v>
      </c>
      <c r="F1022" t="str">
        <f>_xlfn.XLOOKUP(G1022,ecu_admgz_adm2!D:D,ecu_admgz_adm2!C:C)</f>
        <v>Santo Domingo</v>
      </c>
      <c r="G1022" t="str">
        <f t="shared" si="78"/>
        <v>EC2301</v>
      </c>
      <c r="H1022" t="str">
        <f t="shared" si="79"/>
        <v>EC23</v>
      </c>
      <c r="I1022" t="str">
        <f>_xlfn.XLOOKUP(H1022,eci_admgz_adm1!D:D,eci_admgz_adm1!C:C)</f>
        <v>Santo Domingo de los Tsáchilas</v>
      </c>
      <c r="J1022" t="s">
        <v>2021</v>
      </c>
      <c r="K1022" s="1" t="s">
        <v>2023</v>
      </c>
    </row>
    <row r="1023" spans="1:11" ht="16" x14ac:dyDescent="0.2">
      <c r="A1023" t="s">
        <v>1934</v>
      </c>
      <c r="B1023" t="s">
        <v>1935</v>
      </c>
      <c r="C1023" t="str">
        <f t="shared" si="76"/>
        <v>Puerto Limón</v>
      </c>
      <c r="D1023" t="str">
        <f t="shared" si="75"/>
        <v>Puerto Limón</v>
      </c>
      <c r="E1023" t="str">
        <f t="shared" si="77"/>
        <v>EC230152</v>
      </c>
      <c r="F1023" t="str">
        <f>_xlfn.XLOOKUP(G1023,ecu_admgz_adm2!D:D,ecu_admgz_adm2!C:C)</f>
        <v>Santo Domingo</v>
      </c>
      <c r="G1023" t="str">
        <f t="shared" si="78"/>
        <v>EC2301</v>
      </c>
      <c r="H1023" t="str">
        <f t="shared" si="79"/>
        <v>EC23</v>
      </c>
      <c r="I1023" t="str">
        <f>_xlfn.XLOOKUP(H1023,eci_admgz_adm1!D:D,eci_admgz_adm1!C:C)</f>
        <v>Santo Domingo de los Tsáchilas</v>
      </c>
      <c r="J1023" t="s">
        <v>2021</v>
      </c>
      <c r="K1023" s="1" t="s">
        <v>2023</v>
      </c>
    </row>
    <row r="1024" spans="1:11" ht="16" x14ac:dyDescent="0.2">
      <c r="A1024" t="s">
        <v>1936</v>
      </c>
      <c r="B1024" t="s">
        <v>1937</v>
      </c>
      <c r="C1024" t="str">
        <f t="shared" si="76"/>
        <v>Luz De América</v>
      </c>
      <c r="D1024" t="str">
        <f t="shared" si="75"/>
        <v>Luz de América</v>
      </c>
      <c r="E1024" t="str">
        <f t="shared" si="77"/>
        <v>EC230153</v>
      </c>
      <c r="F1024" t="str">
        <f>_xlfn.XLOOKUP(G1024,ecu_admgz_adm2!D:D,ecu_admgz_adm2!C:C)</f>
        <v>Santo Domingo</v>
      </c>
      <c r="G1024" t="str">
        <f t="shared" si="78"/>
        <v>EC2301</v>
      </c>
      <c r="H1024" t="str">
        <f t="shared" si="79"/>
        <v>EC23</v>
      </c>
      <c r="I1024" t="str">
        <f>_xlfn.XLOOKUP(H1024,eci_admgz_adm1!D:D,eci_admgz_adm1!C:C)</f>
        <v>Santo Domingo de los Tsáchilas</v>
      </c>
      <c r="J1024" t="s">
        <v>2021</v>
      </c>
      <c r="K1024" s="1" t="s">
        <v>2023</v>
      </c>
    </row>
    <row r="1025" spans="1:11" ht="16" x14ac:dyDescent="0.2">
      <c r="A1025" t="s">
        <v>1938</v>
      </c>
      <c r="B1025" t="s">
        <v>1939</v>
      </c>
      <c r="C1025" t="str">
        <f t="shared" si="76"/>
        <v>San Jacinto Del Búa</v>
      </c>
      <c r="D1025" t="str">
        <f t="shared" si="75"/>
        <v>San Jacinto del Búa</v>
      </c>
      <c r="E1025" t="str">
        <f t="shared" si="77"/>
        <v>EC230154</v>
      </c>
      <c r="F1025" t="str">
        <f>_xlfn.XLOOKUP(G1025,ecu_admgz_adm2!D:D,ecu_admgz_adm2!C:C)</f>
        <v>Santo Domingo</v>
      </c>
      <c r="G1025" t="str">
        <f t="shared" si="78"/>
        <v>EC2301</v>
      </c>
      <c r="H1025" t="str">
        <f t="shared" si="79"/>
        <v>EC23</v>
      </c>
      <c r="I1025" t="str">
        <f>_xlfn.XLOOKUP(H1025,eci_admgz_adm1!D:D,eci_admgz_adm1!C:C)</f>
        <v>Santo Domingo de los Tsáchilas</v>
      </c>
      <c r="J1025" t="s">
        <v>2021</v>
      </c>
      <c r="K1025" s="1" t="s">
        <v>2023</v>
      </c>
    </row>
    <row r="1026" spans="1:11" ht="16" x14ac:dyDescent="0.2">
      <c r="A1026" t="s">
        <v>1940</v>
      </c>
      <c r="B1026" t="s">
        <v>1941</v>
      </c>
      <c r="C1026" t="str">
        <f t="shared" si="76"/>
        <v>Valle Hermoso</v>
      </c>
      <c r="D1026" t="str">
        <f t="shared" ref="D1026:D1044" si="80">SUBSTITUTE(SUBSTITUTE(SUBSTITUTE(SUBSTITUTE(SUBSTITUTE(SUBSTITUTE(PROPER($C1026)," De "," de ")," La "," la ")," Del "," del ")," Los "," los ")," Y "," y "),"En","en")</f>
        <v>Valle Hermoso</v>
      </c>
      <c r="E1026" t="str">
        <f t="shared" si="77"/>
        <v>EC230155</v>
      </c>
      <c r="F1026" t="str">
        <f>_xlfn.XLOOKUP(G1026,ecu_admgz_adm2!D:D,ecu_admgz_adm2!C:C)</f>
        <v>Santo Domingo</v>
      </c>
      <c r="G1026" t="str">
        <f t="shared" si="78"/>
        <v>EC2301</v>
      </c>
      <c r="H1026" t="str">
        <f t="shared" si="79"/>
        <v>EC23</v>
      </c>
      <c r="I1026" t="str">
        <f>_xlfn.XLOOKUP(H1026,eci_admgz_adm1!D:D,eci_admgz_adm1!C:C)</f>
        <v>Santo Domingo de los Tsáchilas</v>
      </c>
      <c r="J1026" t="s">
        <v>2021</v>
      </c>
      <c r="K1026" s="1" t="s">
        <v>2023</v>
      </c>
    </row>
    <row r="1027" spans="1:11" ht="16" x14ac:dyDescent="0.2">
      <c r="A1027" t="s">
        <v>1942</v>
      </c>
      <c r="B1027" t="s">
        <v>1943</v>
      </c>
      <c r="C1027" t="str">
        <f t="shared" ref="C1027:C1045" si="81">PROPER(B1027)</f>
        <v>El Esfuerzo</v>
      </c>
      <c r="D1027" t="str">
        <f t="shared" si="80"/>
        <v>El Esfuerzo</v>
      </c>
      <c r="E1027" t="str">
        <f t="shared" ref="E1027:E1045" si="82">"EC"&amp;A1027</f>
        <v>EC230156</v>
      </c>
      <c r="F1027" t="str">
        <f>_xlfn.XLOOKUP(G1027,ecu_admgz_adm2!D:D,ecu_admgz_adm2!C:C)</f>
        <v>Santo Domingo</v>
      </c>
      <c r="G1027" t="str">
        <f t="shared" ref="G1027:G1045" si="83">LEFT(E1027,6)</f>
        <v>EC2301</v>
      </c>
      <c r="H1027" t="str">
        <f t="shared" ref="H1027:H1045" si="84">LEFT(G1027,4)</f>
        <v>EC23</v>
      </c>
      <c r="I1027" t="str">
        <f>_xlfn.XLOOKUP(H1027,eci_admgz_adm1!D:D,eci_admgz_adm1!C:C)</f>
        <v>Santo Domingo de los Tsáchilas</v>
      </c>
      <c r="J1027" t="s">
        <v>2021</v>
      </c>
      <c r="K1027" s="1" t="s">
        <v>2023</v>
      </c>
    </row>
    <row r="1028" spans="1:11" ht="16" x14ac:dyDescent="0.2">
      <c r="A1028" t="s">
        <v>1944</v>
      </c>
      <c r="B1028" t="s">
        <v>1945</v>
      </c>
      <c r="C1028" t="str">
        <f t="shared" si="81"/>
        <v>Santa María Del Toachi</v>
      </c>
      <c r="D1028" t="str">
        <f t="shared" si="80"/>
        <v>Santa María del Toachi</v>
      </c>
      <c r="E1028" t="str">
        <f t="shared" si="82"/>
        <v>EC230157</v>
      </c>
      <c r="F1028" t="str">
        <f>_xlfn.XLOOKUP(G1028,ecu_admgz_adm2!D:D,ecu_admgz_adm2!C:C)</f>
        <v>Santo Domingo</v>
      </c>
      <c r="G1028" t="str">
        <f t="shared" si="83"/>
        <v>EC2301</v>
      </c>
      <c r="H1028" t="str">
        <f t="shared" si="84"/>
        <v>EC23</v>
      </c>
      <c r="I1028" t="str">
        <f>_xlfn.XLOOKUP(H1028,eci_admgz_adm1!D:D,eci_admgz_adm1!C:C)</f>
        <v>Santo Domingo de los Tsáchilas</v>
      </c>
      <c r="J1028" t="s">
        <v>2021</v>
      </c>
      <c r="K1028" s="1" t="s">
        <v>2023</v>
      </c>
    </row>
    <row r="1029" spans="1:11" ht="16" x14ac:dyDescent="0.2">
      <c r="A1029" t="s">
        <v>1946</v>
      </c>
      <c r="B1029" t="s">
        <v>1947</v>
      </c>
      <c r="C1029" t="str">
        <f t="shared" si="81"/>
        <v>La Concordia</v>
      </c>
      <c r="D1029" t="str">
        <f t="shared" si="80"/>
        <v>La Concordia</v>
      </c>
      <c r="E1029" t="str">
        <f t="shared" si="82"/>
        <v>EC230250</v>
      </c>
      <c r="F1029" t="str">
        <f>_xlfn.XLOOKUP(G1029,ecu_admgz_adm2!D:D,ecu_admgz_adm2!C:C)</f>
        <v>La Concordia</v>
      </c>
      <c r="G1029" t="str">
        <f t="shared" si="83"/>
        <v>EC2302</v>
      </c>
      <c r="H1029" t="str">
        <f t="shared" si="84"/>
        <v>EC23</v>
      </c>
      <c r="I1029" t="str">
        <f>_xlfn.XLOOKUP(H1029,eci_admgz_adm1!D:D,eci_admgz_adm1!C:C)</f>
        <v>Santo Domingo de los Tsáchilas</v>
      </c>
      <c r="J1029" t="s">
        <v>2021</v>
      </c>
      <c r="K1029" s="1" t="s">
        <v>2023</v>
      </c>
    </row>
    <row r="1030" spans="1:11" ht="16" x14ac:dyDescent="0.2">
      <c r="A1030" t="s">
        <v>1948</v>
      </c>
      <c r="B1030" t="s">
        <v>1949</v>
      </c>
      <c r="C1030" t="str">
        <f t="shared" si="81"/>
        <v>Monterrey</v>
      </c>
      <c r="D1030" t="str">
        <f t="shared" si="80"/>
        <v>Monterrey</v>
      </c>
      <c r="E1030" t="str">
        <f t="shared" si="82"/>
        <v>EC230251</v>
      </c>
      <c r="F1030" t="str">
        <f>_xlfn.XLOOKUP(G1030,ecu_admgz_adm2!D:D,ecu_admgz_adm2!C:C)</f>
        <v>La Concordia</v>
      </c>
      <c r="G1030" t="str">
        <f t="shared" si="83"/>
        <v>EC2302</v>
      </c>
      <c r="H1030" t="str">
        <f t="shared" si="84"/>
        <v>EC23</v>
      </c>
      <c r="I1030" t="str">
        <f>_xlfn.XLOOKUP(H1030,eci_admgz_adm1!D:D,eci_admgz_adm1!C:C)</f>
        <v>Santo Domingo de los Tsáchilas</v>
      </c>
      <c r="J1030" t="s">
        <v>2021</v>
      </c>
      <c r="K1030" s="1" t="s">
        <v>2023</v>
      </c>
    </row>
    <row r="1031" spans="1:11" ht="16" x14ac:dyDescent="0.2">
      <c r="A1031" t="s">
        <v>1950</v>
      </c>
      <c r="B1031" t="s">
        <v>1951</v>
      </c>
      <c r="C1031" t="str">
        <f t="shared" si="81"/>
        <v>La Villegas</v>
      </c>
      <c r="D1031" t="str">
        <f t="shared" si="80"/>
        <v>La Villegas</v>
      </c>
      <c r="E1031" t="str">
        <f t="shared" si="82"/>
        <v>EC230252</v>
      </c>
      <c r="F1031" t="str">
        <f>_xlfn.XLOOKUP(G1031,ecu_admgz_adm2!D:D,ecu_admgz_adm2!C:C)</f>
        <v>La Concordia</v>
      </c>
      <c r="G1031" t="str">
        <f t="shared" si="83"/>
        <v>EC2302</v>
      </c>
      <c r="H1031" t="str">
        <f t="shared" si="84"/>
        <v>EC23</v>
      </c>
      <c r="I1031" t="str">
        <f>_xlfn.XLOOKUP(H1031,eci_admgz_adm1!D:D,eci_admgz_adm1!C:C)</f>
        <v>Santo Domingo de los Tsáchilas</v>
      </c>
      <c r="J1031" t="s">
        <v>2021</v>
      </c>
      <c r="K1031" s="1" t="s">
        <v>2023</v>
      </c>
    </row>
    <row r="1032" spans="1:11" ht="16" x14ac:dyDescent="0.2">
      <c r="A1032" t="s">
        <v>1952</v>
      </c>
      <c r="B1032" t="s">
        <v>1953</v>
      </c>
      <c r="C1032" t="str">
        <f t="shared" si="81"/>
        <v>Plan Piloto</v>
      </c>
      <c r="D1032" t="str">
        <f t="shared" si="80"/>
        <v>Plan Piloto</v>
      </c>
      <c r="E1032" t="str">
        <f t="shared" si="82"/>
        <v>EC230253</v>
      </c>
      <c r="F1032" t="str">
        <f>_xlfn.XLOOKUP(G1032,ecu_admgz_adm2!D:D,ecu_admgz_adm2!C:C)</f>
        <v>La Concordia</v>
      </c>
      <c r="G1032" t="str">
        <f t="shared" si="83"/>
        <v>EC2302</v>
      </c>
      <c r="H1032" t="str">
        <f t="shared" si="84"/>
        <v>EC23</v>
      </c>
      <c r="I1032" t="str">
        <f>_xlfn.XLOOKUP(H1032,eci_admgz_adm1!D:D,eci_admgz_adm1!C:C)</f>
        <v>Santo Domingo de los Tsáchilas</v>
      </c>
      <c r="J1032" t="s">
        <v>2021</v>
      </c>
      <c r="K1032" s="1" t="s">
        <v>2023</v>
      </c>
    </row>
    <row r="1033" spans="1:11" ht="16" x14ac:dyDescent="0.2">
      <c r="A1033" t="s">
        <v>1954</v>
      </c>
      <c r="B1033" t="s">
        <v>1833</v>
      </c>
      <c r="C1033" t="str">
        <f t="shared" si="81"/>
        <v>Santa Elena</v>
      </c>
      <c r="D1033" t="str">
        <f t="shared" si="80"/>
        <v>Santa Elena</v>
      </c>
      <c r="E1033" t="str">
        <f t="shared" si="82"/>
        <v>EC240150</v>
      </c>
      <c r="F1033" t="str">
        <f>_xlfn.XLOOKUP(G1033,ecu_admgz_adm2!D:D,ecu_admgz_adm2!C:C)</f>
        <v>Santa Elena</v>
      </c>
      <c r="G1033" t="str">
        <f t="shared" si="83"/>
        <v>EC2401</v>
      </c>
      <c r="H1033" t="str">
        <f t="shared" si="84"/>
        <v>EC24</v>
      </c>
      <c r="I1033" t="str">
        <f>_xlfn.XLOOKUP(H1033,eci_admgz_adm1!D:D,eci_admgz_adm1!C:C)</f>
        <v>Santa Elena</v>
      </c>
      <c r="J1033" t="s">
        <v>2021</v>
      </c>
      <c r="K1033" s="1" t="s">
        <v>2023</v>
      </c>
    </row>
    <row r="1034" spans="1:11" ht="16" x14ac:dyDescent="0.2">
      <c r="A1034" t="s">
        <v>1955</v>
      </c>
      <c r="B1034" t="s">
        <v>536</v>
      </c>
      <c r="C1034" t="str">
        <f t="shared" si="81"/>
        <v>Atahualpa</v>
      </c>
      <c r="D1034" t="str">
        <f t="shared" si="80"/>
        <v>Atahualpa</v>
      </c>
      <c r="E1034" t="str">
        <f t="shared" si="82"/>
        <v>EC240151</v>
      </c>
      <c r="F1034" t="str">
        <f>_xlfn.XLOOKUP(G1034,ecu_admgz_adm2!D:D,ecu_admgz_adm2!C:C)</f>
        <v>Santa Elena</v>
      </c>
      <c r="G1034" t="str">
        <f t="shared" si="83"/>
        <v>EC2401</v>
      </c>
      <c r="H1034" t="str">
        <f t="shared" si="84"/>
        <v>EC24</v>
      </c>
      <c r="I1034" t="str">
        <f>_xlfn.XLOOKUP(H1034,eci_admgz_adm1!D:D,eci_admgz_adm1!C:C)</f>
        <v>Santa Elena</v>
      </c>
      <c r="J1034" t="s">
        <v>2021</v>
      </c>
      <c r="K1034" s="1" t="s">
        <v>2023</v>
      </c>
    </row>
    <row r="1035" spans="1:11" ht="16" x14ac:dyDescent="0.2">
      <c r="A1035" t="s">
        <v>1956</v>
      </c>
      <c r="B1035" t="s">
        <v>1957</v>
      </c>
      <c r="C1035" t="str">
        <f t="shared" si="81"/>
        <v>Colonche</v>
      </c>
      <c r="D1035" t="str">
        <f t="shared" si="80"/>
        <v>Colonche</v>
      </c>
      <c r="E1035" t="str">
        <f t="shared" si="82"/>
        <v>EC240152</v>
      </c>
      <c r="F1035" t="str">
        <f>_xlfn.XLOOKUP(G1035,ecu_admgz_adm2!D:D,ecu_admgz_adm2!C:C)</f>
        <v>Santa Elena</v>
      </c>
      <c r="G1035" t="str">
        <f t="shared" si="83"/>
        <v>EC2401</v>
      </c>
      <c r="H1035" t="str">
        <f t="shared" si="84"/>
        <v>EC24</v>
      </c>
      <c r="I1035" t="str">
        <f>_xlfn.XLOOKUP(H1035,eci_admgz_adm1!D:D,eci_admgz_adm1!C:C)</f>
        <v>Santa Elena</v>
      </c>
      <c r="J1035" t="s">
        <v>2021</v>
      </c>
      <c r="K1035" s="1" t="s">
        <v>2023</v>
      </c>
    </row>
    <row r="1036" spans="1:11" ht="16" x14ac:dyDescent="0.2">
      <c r="A1036" t="s">
        <v>1958</v>
      </c>
      <c r="B1036" t="s">
        <v>1959</v>
      </c>
      <c r="C1036" t="str">
        <f t="shared" si="81"/>
        <v>Chanduy</v>
      </c>
      <c r="D1036" t="str">
        <f t="shared" si="80"/>
        <v>Chanduy</v>
      </c>
      <c r="E1036" t="str">
        <f t="shared" si="82"/>
        <v>EC240153</v>
      </c>
      <c r="F1036" t="str">
        <f>_xlfn.XLOOKUP(G1036,ecu_admgz_adm2!D:D,ecu_admgz_adm2!C:C)</f>
        <v>Santa Elena</v>
      </c>
      <c r="G1036" t="str">
        <f t="shared" si="83"/>
        <v>EC2401</v>
      </c>
      <c r="H1036" t="str">
        <f t="shared" si="84"/>
        <v>EC24</v>
      </c>
      <c r="I1036" t="str">
        <f>_xlfn.XLOOKUP(H1036,eci_admgz_adm1!D:D,eci_admgz_adm1!C:C)</f>
        <v>Santa Elena</v>
      </c>
      <c r="J1036" t="s">
        <v>2021</v>
      </c>
      <c r="K1036" s="1" t="s">
        <v>2023</v>
      </c>
    </row>
    <row r="1037" spans="1:11" ht="16" x14ac:dyDescent="0.2">
      <c r="A1037" t="s">
        <v>1960</v>
      </c>
      <c r="B1037" t="s">
        <v>1961</v>
      </c>
      <c r="C1037" t="str">
        <f t="shared" si="81"/>
        <v>Manglaralto</v>
      </c>
      <c r="D1037" t="str">
        <f t="shared" si="80"/>
        <v>Manglaralto</v>
      </c>
      <c r="E1037" t="str">
        <f t="shared" si="82"/>
        <v>EC240154</v>
      </c>
      <c r="F1037" t="str">
        <f>_xlfn.XLOOKUP(G1037,ecu_admgz_adm2!D:D,ecu_admgz_adm2!C:C)</f>
        <v>Santa Elena</v>
      </c>
      <c r="G1037" t="str">
        <f t="shared" si="83"/>
        <v>EC2401</v>
      </c>
      <c r="H1037" t="str">
        <f t="shared" si="84"/>
        <v>EC24</v>
      </c>
      <c r="I1037" t="str">
        <f>_xlfn.XLOOKUP(H1037,eci_admgz_adm1!D:D,eci_admgz_adm1!C:C)</f>
        <v>Santa Elena</v>
      </c>
      <c r="J1037" t="s">
        <v>2021</v>
      </c>
      <c r="K1037" s="1" t="s">
        <v>2023</v>
      </c>
    </row>
    <row r="1038" spans="1:11" ht="16" x14ac:dyDescent="0.2">
      <c r="A1038" t="s">
        <v>1962</v>
      </c>
      <c r="B1038" t="s">
        <v>69</v>
      </c>
      <c r="C1038" t="str">
        <f t="shared" si="81"/>
        <v>Simón Bolívar</v>
      </c>
      <c r="D1038" t="str">
        <f t="shared" si="80"/>
        <v>Simón Bolívar</v>
      </c>
      <c r="E1038" t="str">
        <f t="shared" si="82"/>
        <v>EC240155</v>
      </c>
      <c r="F1038" t="str">
        <f>_xlfn.XLOOKUP(G1038,ecu_admgz_adm2!D:D,ecu_admgz_adm2!C:C)</f>
        <v>Santa Elena</v>
      </c>
      <c r="G1038" t="str">
        <f t="shared" si="83"/>
        <v>EC2401</v>
      </c>
      <c r="H1038" t="str">
        <f t="shared" si="84"/>
        <v>EC24</v>
      </c>
      <c r="I1038" t="str">
        <f>_xlfn.XLOOKUP(H1038,eci_admgz_adm1!D:D,eci_admgz_adm1!C:C)</f>
        <v>Santa Elena</v>
      </c>
      <c r="J1038" t="s">
        <v>2021</v>
      </c>
      <c r="K1038" s="1" t="s">
        <v>2023</v>
      </c>
    </row>
    <row r="1039" spans="1:11" ht="16" x14ac:dyDescent="0.2">
      <c r="A1039" t="s">
        <v>1963</v>
      </c>
      <c r="B1039" t="s">
        <v>1964</v>
      </c>
      <c r="C1039" t="str">
        <f t="shared" si="81"/>
        <v>San José De Ancón</v>
      </c>
      <c r="D1039" t="str">
        <f t="shared" si="80"/>
        <v>San José de Ancón</v>
      </c>
      <c r="E1039" t="str">
        <f t="shared" si="82"/>
        <v>EC240156</v>
      </c>
      <c r="F1039" t="str">
        <f>_xlfn.XLOOKUP(G1039,ecu_admgz_adm2!D:D,ecu_admgz_adm2!C:C)</f>
        <v>Santa Elena</v>
      </c>
      <c r="G1039" t="str">
        <f t="shared" si="83"/>
        <v>EC2401</v>
      </c>
      <c r="H1039" t="str">
        <f t="shared" si="84"/>
        <v>EC24</v>
      </c>
      <c r="I1039" t="str">
        <f>_xlfn.XLOOKUP(H1039,eci_admgz_adm1!D:D,eci_admgz_adm1!C:C)</f>
        <v>Santa Elena</v>
      </c>
      <c r="J1039" t="s">
        <v>2021</v>
      </c>
      <c r="K1039" s="1" t="s">
        <v>2023</v>
      </c>
    </row>
    <row r="1040" spans="1:11" ht="16" x14ac:dyDescent="0.2">
      <c r="A1040" t="s">
        <v>1965</v>
      </c>
      <c r="B1040" t="s">
        <v>307</v>
      </c>
      <c r="C1040" t="str">
        <f t="shared" si="81"/>
        <v>La Libertad</v>
      </c>
      <c r="D1040" t="str">
        <f t="shared" si="80"/>
        <v>La Libertad</v>
      </c>
      <c r="E1040" t="str">
        <f t="shared" si="82"/>
        <v>EC240250</v>
      </c>
      <c r="F1040" t="str">
        <f>_xlfn.XLOOKUP(G1040,ecu_admgz_adm2!D:D,ecu_admgz_adm2!C:C)</f>
        <v>La Libertad</v>
      </c>
      <c r="G1040" t="str">
        <f t="shared" si="83"/>
        <v>EC2402</v>
      </c>
      <c r="H1040" t="str">
        <f t="shared" si="84"/>
        <v>EC24</v>
      </c>
      <c r="I1040" t="str">
        <f>_xlfn.XLOOKUP(H1040,eci_admgz_adm1!D:D,eci_admgz_adm1!C:C)</f>
        <v>Santa Elena</v>
      </c>
      <c r="J1040" t="s">
        <v>2021</v>
      </c>
      <c r="K1040" s="1" t="s">
        <v>2023</v>
      </c>
    </row>
    <row r="1041" spans="1:11" ht="16" x14ac:dyDescent="0.2">
      <c r="A1041" t="s">
        <v>1966</v>
      </c>
      <c r="B1041" t="s">
        <v>162</v>
      </c>
      <c r="C1041" t="str">
        <f t="shared" si="81"/>
        <v>Salinas</v>
      </c>
      <c r="D1041" t="str">
        <f t="shared" si="80"/>
        <v>Salinas</v>
      </c>
      <c r="E1041" t="str">
        <f t="shared" si="82"/>
        <v>EC240350</v>
      </c>
      <c r="F1041" t="str">
        <f>_xlfn.XLOOKUP(G1041,ecu_admgz_adm2!D:D,ecu_admgz_adm2!C:C)</f>
        <v>Salinas</v>
      </c>
      <c r="G1041" t="str">
        <f t="shared" si="83"/>
        <v>EC2403</v>
      </c>
      <c r="H1041" t="str">
        <f t="shared" si="84"/>
        <v>EC24</v>
      </c>
      <c r="I1041" t="str">
        <f>_xlfn.XLOOKUP(H1041,eci_admgz_adm1!D:D,eci_admgz_adm1!C:C)</f>
        <v>Santa Elena</v>
      </c>
      <c r="J1041" t="s">
        <v>2021</v>
      </c>
      <c r="K1041" s="1" t="s">
        <v>2023</v>
      </c>
    </row>
    <row r="1042" spans="1:11" ht="16" x14ac:dyDescent="0.2">
      <c r="A1042" t="s">
        <v>1967</v>
      </c>
      <c r="B1042" t="s">
        <v>1968</v>
      </c>
      <c r="C1042" t="str">
        <f t="shared" si="81"/>
        <v>Anconcito</v>
      </c>
      <c r="D1042" t="str">
        <f t="shared" si="80"/>
        <v>Anconcito</v>
      </c>
      <c r="E1042" t="str">
        <f t="shared" si="82"/>
        <v>EC240351</v>
      </c>
      <c r="F1042" t="str">
        <f>_xlfn.XLOOKUP(G1042,ecu_admgz_adm2!D:D,ecu_admgz_adm2!C:C)</f>
        <v>Salinas</v>
      </c>
      <c r="G1042" t="str">
        <f t="shared" si="83"/>
        <v>EC2403</v>
      </c>
      <c r="H1042" t="str">
        <f t="shared" si="84"/>
        <v>EC24</v>
      </c>
      <c r="I1042" t="str">
        <f>_xlfn.XLOOKUP(H1042,eci_admgz_adm1!D:D,eci_admgz_adm1!C:C)</f>
        <v>Santa Elena</v>
      </c>
      <c r="J1042" t="s">
        <v>2021</v>
      </c>
      <c r="K1042" s="1" t="s">
        <v>2023</v>
      </c>
    </row>
    <row r="1043" spans="1:11" ht="16" x14ac:dyDescent="0.2">
      <c r="A1043" t="s">
        <v>1969</v>
      </c>
      <c r="B1043" t="s">
        <v>1970</v>
      </c>
      <c r="C1043" t="str">
        <f t="shared" si="81"/>
        <v>José Luis Tamayo</v>
      </c>
      <c r="D1043" t="str">
        <f t="shared" si="80"/>
        <v>José Luis Tamayo</v>
      </c>
      <c r="E1043" t="str">
        <f t="shared" si="82"/>
        <v>EC240352</v>
      </c>
      <c r="F1043" t="str">
        <f>_xlfn.XLOOKUP(G1043,ecu_admgz_adm2!D:D,ecu_admgz_adm2!C:C)</f>
        <v>Salinas</v>
      </c>
      <c r="G1043" t="str">
        <f t="shared" si="83"/>
        <v>EC2403</v>
      </c>
      <c r="H1043" t="str">
        <f t="shared" si="84"/>
        <v>EC24</v>
      </c>
      <c r="I1043" t="str">
        <f>_xlfn.XLOOKUP(H1043,eci_admgz_adm1!D:D,eci_admgz_adm1!C:C)</f>
        <v>Santa Elena</v>
      </c>
      <c r="J1043" t="s">
        <v>2021</v>
      </c>
      <c r="K1043" s="1" t="s">
        <v>2023</v>
      </c>
    </row>
    <row r="1044" spans="1:11" ht="16" x14ac:dyDescent="0.2">
      <c r="A1044" t="s">
        <v>1971</v>
      </c>
      <c r="B1044" t="s">
        <v>1971</v>
      </c>
      <c r="C1044" t="str">
        <f t="shared" si="81"/>
        <v>Isla</v>
      </c>
      <c r="D1044" t="str">
        <f t="shared" si="80"/>
        <v>Isla</v>
      </c>
      <c r="E1044" t="str">
        <f t="shared" si="82"/>
        <v>ECISLA</v>
      </c>
      <c r="F1044" t="str">
        <f>_xlfn.XLOOKUP(G1044,ecu_admgz_adm2!D:D,ecu_admgz_adm2!C:C)</f>
        <v>Isla</v>
      </c>
      <c r="G1044" t="str">
        <f t="shared" si="83"/>
        <v>ECISLA</v>
      </c>
      <c r="H1044" t="str">
        <f t="shared" si="84"/>
        <v>ECIS</v>
      </c>
      <c r="I1044" t="e">
        <f>_xlfn.XLOOKUP(H1044,eci_admgz_adm1!D:D,eci_admgz_adm1!C:C)</f>
        <v>#N/A</v>
      </c>
      <c r="J1044" t="s">
        <v>2021</v>
      </c>
      <c r="K1044" s="1" t="s">
        <v>2023</v>
      </c>
    </row>
    <row r="1045" spans="1:11" ht="16" x14ac:dyDescent="0.2">
      <c r="A1045" t="s">
        <v>1972</v>
      </c>
      <c r="B1045" t="s">
        <v>1973</v>
      </c>
      <c r="C1045" t="str">
        <f t="shared" si="81"/>
        <v>Zona En Estudio: Juval (Cañar-Chimborazo)</v>
      </c>
      <c r="D1045" t="str">
        <f>SUBSTITUTE(SUBSTITUTE(SUBSTITUTE(SUBSTITUTE(SUBSTITUTE(SUBSTITUTE(PROPER($C1045)," De "," de ")," La "," la ")," Del "," del ")," Los "," los ")," Y "," y "),"En","en")</f>
        <v>Zona en Estudio: Juval (Cañar-Chimborazo)</v>
      </c>
      <c r="E1045" t="str">
        <f t="shared" si="82"/>
        <v>ECNO APLICA</v>
      </c>
      <c r="F1045" t="e">
        <f>_xlfn.XLOOKUP(G1045,ecu_admgz_adm2!D:D,ecu_admgz_adm2!C:C)</f>
        <v>#N/A</v>
      </c>
      <c r="G1045" t="str">
        <f t="shared" si="83"/>
        <v>ECNO A</v>
      </c>
      <c r="H1045" t="str">
        <f t="shared" si="84"/>
        <v>ECNO</v>
      </c>
      <c r="I1045" t="e">
        <f>_xlfn.XLOOKUP(H1045,eci_admgz_adm1!D:D,eci_admgz_adm1!C:C)</f>
        <v>#N/A</v>
      </c>
      <c r="J1045" t="s">
        <v>2021</v>
      </c>
      <c r="K1045" s="1" t="s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eci_admgz_adm0</vt:lpstr>
      <vt:lpstr>eci_admgz_adm1</vt:lpstr>
      <vt:lpstr>ecu_admgz_adm2</vt:lpstr>
      <vt:lpstr>ecu_admgz_adm3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Briar Mills</cp:lastModifiedBy>
  <cp:revision>0</cp:revision>
  <dcterms:created xsi:type="dcterms:W3CDTF">2024-12-18T15:53:55Z</dcterms:created>
  <dcterms:modified xsi:type="dcterms:W3CDTF">2025-03-21T16:47:45Z</dcterms:modified>
</cp:coreProperties>
</file>